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alculation Engine" sheetId="2" state="visible" r:id="rId2"/>
    <sheet xmlns:r="http://schemas.openxmlformats.org/officeDocument/2006/relationships" name="_AUDIT_LOG" sheetId="3" state="hidden" r:id="rId3"/>
    <sheet xmlns:r="http://schemas.openxmlformats.org/officeDocument/2006/relationships" name="Debt Schedule" sheetId="4" state="visible" r:id="rId4"/>
    <sheet xmlns:r="http://schemas.openxmlformats.org/officeDocument/2006/relationships" name="Input Data" sheetId="5" state="visible" r:id="rId5"/>
    <sheet xmlns:r="http://schemas.openxmlformats.org/officeDocument/2006/relationships" name="Campaign Analysis" sheetId="6" state="visible" r:id="rId6"/>
    <sheet xmlns:r="http://schemas.openxmlformats.org/officeDocument/2006/relationships" name="Assumptions &amp; Formulas" sheetId="7" state="visible" r:id="rId7"/>
  </sheets>
  <definedNames/>
  <calcPr calcId="124519" calcMode="auto" fullCalcOnLoad="1" iterate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10">
    <font>
      <name val="Calibri"/>
      <family val="2"/>
      <color theme="1"/>
      <sz val="11"/>
      <scheme val="minor"/>
    </font>
    <font>
      <b val="1"/>
      <sz val="11"/>
    </font>
    <font>
      <name val="Calibri"/>
      <sz val="11"/>
    </font>
    <font>
      <name val="Calibri"/>
      <b val="1"/>
      <color rgb="00E94560"/>
      <sz val="16"/>
    </font>
    <font>
      <b val="1"/>
      <color rgb="00E94560"/>
      <sz val="14"/>
    </font>
    <font>
      <b val="1"/>
    </font>
    <font>
      <name val="Calibri"/>
      <b val="1"/>
      <color rgb="00FFFFFF"/>
      <sz val="12"/>
    </font>
    <font>
      <name val="Consolas"/>
      <sz val="10"/>
    </font>
    <font>
      <b val="1"/>
      <color rgb="00E94560"/>
      <sz val="12"/>
    </font>
    <font>
      <i val="1"/>
      <sz val="10"/>
    </font>
  </fonts>
  <fills count="3">
    <fill>
      <patternFill/>
    </fill>
    <fill>
      <patternFill patternType="gray125"/>
    </fill>
    <fill>
      <patternFill patternType="solid">
        <fgColor rgb="001A1A2E"/>
        <bgColor rgb="001A1A2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4" fontId="2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10" fontId="0" fillId="0" borderId="0" pivotButton="0" quotePrefix="0" xfId="0"/>
    <xf numFmtId="0" fontId="6" fillId="2" borderId="1" applyAlignment="1" pivotButton="0" quotePrefix="0" xfId="0">
      <alignment horizontal="center"/>
    </xf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164" fontId="2" fillId="0" borderId="0" pivotButton="0" quotePrefix="0" xfId="0"/>
    <xf numFmtId="4" fontId="0" fillId="0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1" t="inlineStr">
        <is>
          <t>CFO FRAGILITY REPORT</t>
        </is>
      </c>
      <c r="B1" s="2" t="inlineStr"/>
    </row>
    <row r="2">
      <c r="A2" s="3" t="inlineStr">
        <is>
          <t>Generated</t>
        </is>
      </c>
      <c r="B2" s="2" t="inlineStr">
        <is>
          <t>2026-04-18T21:40:01.206101</t>
        </is>
      </c>
    </row>
    <row r="3">
      <c r="A3" s="3" t="inlineStr"/>
      <c r="B3" s="2" t="inlineStr"/>
    </row>
    <row r="4">
      <c r="A4" s="3" t="inlineStr">
        <is>
          <t>FRAGILITY INDEX</t>
        </is>
      </c>
      <c r="B4" s="2" t="n">
        <v>15</v>
      </c>
    </row>
    <row r="5">
      <c r="A5" s="3" t="inlineStr">
        <is>
          <t>Composite Score</t>
        </is>
      </c>
      <c r="B5" s="2" t="n">
        <v>85</v>
      </c>
    </row>
    <row r="6">
      <c r="A6" s="3" t="inlineStr"/>
      <c r="B6" s="2" t="inlineStr"/>
    </row>
    <row r="7">
      <c r="A7" s="3" t="inlineStr">
        <is>
          <t>PORTFOLIO SUMMARY</t>
        </is>
      </c>
      <c r="B7" s="2" t="inlineStr"/>
    </row>
    <row r="8">
      <c r="A8" s="3" t="inlineStr">
        <is>
          <t>Total Spend</t>
        </is>
      </c>
      <c r="B8" s="4" t="n">
        <v>25000</v>
      </c>
    </row>
    <row r="9">
      <c r="A9" s="3" t="inlineStr">
        <is>
          <t>Total Projected Revenue</t>
        </is>
      </c>
      <c r="B9" s="4" t="n">
        <v>100000</v>
      </c>
    </row>
    <row r="10">
      <c r="A10" s="3" t="inlineStr">
        <is>
          <t>Portfolio ROI %</t>
        </is>
      </c>
      <c r="B10" s="2" t="n">
        <v>300</v>
      </c>
    </row>
    <row r="11">
      <c r="A11" s="3" t="inlineStr">
        <is>
          <t>Campaign Count</t>
        </is>
      </c>
      <c r="B11" s="2" t="n">
        <v>2</v>
      </c>
    </row>
    <row r="12">
      <c r="A12" s="3" t="inlineStr"/>
      <c r="B12" s="2" t="inlineStr"/>
    </row>
    <row r="13">
      <c r="A13" s="3" t="inlineStr">
        <is>
          <t>SPEND UTILIZATION</t>
        </is>
      </c>
      <c r="B13" s="2" t="inlineStr"/>
    </row>
    <row r="14">
      <c r="A14" s="3" t="inlineStr">
        <is>
          <t>Budget Utilization %</t>
        </is>
      </c>
      <c r="B14" s="2" t="n">
        <v>84</v>
      </c>
    </row>
    <row r="15">
      <c r="A15" s="3" t="inlineStr">
        <is>
          <t>Allocated</t>
        </is>
      </c>
      <c r="B15" s="4" t="n">
        <v>42000</v>
      </c>
    </row>
    <row r="16">
      <c r="A16" s="3" t="inlineStr">
        <is>
          <t>Unallocated</t>
        </is>
      </c>
      <c r="B16" s="2" t="n">
        <v>8000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5" customWidth="1" min="3" max="3"/>
  </cols>
  <sheetData>
    <row r="1">
      <c r="A1" s="5" t="inlineStr">
        <is>
          <t>FORMULA MAP</t>
        </is>
      </c>
    </row>
    <row r="2">
      <c r="A2" s="6" t="inlineStr">
        <is>
          <t>Discount Rate</t>
        </is>
      </c>
      <c r="B2" s="7" t="n">
        <v>0.1</v>
      </c>
    </row>
    <row r="4">
      <c r="A4" s="8" t="inlineStr">
        <is>
          <t>Cell Reference</t>
        </is>
      </c>
      <c r="B4" s="8" t="inlineStr">
        <is>
          <t>Formula / Logic</t>
        </is>
      </c>
      <c r="C4" s="8" t="inlineStr">
        <is>
          <t>Value</t>
        </is>
      </c>
    </row>
    <row r="5">
      <c r="A5" s="9" t="inlineStr">
        <is>
          <t>Dashboard!B2</t>
        </is>
      </c>
      <c r="B5" s="2" t="inlineStr">
        <is>
          <t>'=IFERROR(100-'Input Data'!B12, 0)</t>
        </is>
      </c>
      <c r="C5" s="2">
        <f>Dashboard!B2</f>
        <v/>
      </c>
    </row>
    <row r="6">
      <c r="A6" s="9" t="inlineStr">
        <is>
          <t>Dashboard!B4</t>
        </is>
      </c>
      <c r="B6" s="2" t="inlineStr">
        <is>
          <t>'=IFERROR(SUM('Campaign Analysis'!D:D), 0)</t>
        </is>
      </c>
      <c r="C6" s="2">
        <f>Dashboard!B4</f>
        <v/>
      </c>
    </row>
    <row r="7">
      <c r="A7" s="9" t="inlineStr">
        <is>
          <t>Dashboard!B6</t>
        </is>
      </c>
      <c r="B7" s="2" t="inlineStr">
        <is>
          <t>'=IFERROR(SUM('Campaign Analysis'!E:E), 0)</t>
        </is>
      </c>
      <c r="C7" s="2">
        <f>Dashboard!B6</f>
        <v/>
      </c>
    </row>
    <row r="8">
      <c r="A8" s="9" t="inlineStr">
        <is>
          <t>Dashboard!B8</t>
        </is>
      </c>
      <c r="B8" s="2" t="inlineStr">
        <is>
          <t>'=IFERROR((B6-B4)/B4*100, 0)</t>
        </is>
      </c>
      <c r="C8" s="2">
        <f>Dashboard!B8</f>
        <v/>
      </c>
    </row>
    <row r="9">
      <c r="A9" s="9" t="inlineStr">
        <is>
          <t>Dashboard!B10</t>
        </is>
      </c>
      <c r="B9" s="2" t="inlineStr">
        <is>
          <t>'=IFERROR(('Input Data'!B4/'Input Data'!B3)*100, 0)</t>
        </is>
      </c>
      <c r="C9" s="2">
        <f>Dashboard!B10</f>
        <v/>
      </c>
    </row>
    <row r="10">
      <c r="A10" s="9" t="inlineStr">
        <is>
          <t>Calculation_Engine!C2</t>
        </is>
      </c>
      <c r="B10" s="2" t="inlineStr">
        <is>
          <t>'=IFERROR(E2/(1+$B$1)-D2, 0)</t>
        </is>
      </c>
      <c r="C10" s="2">
        <f>Calculation_Engine!C2</f>
        <v/>
      </c>
    </row>
    <row r="11">
      <c r="A11" s="9" t="inlineStr">
        <is>
          <t>Calculation_Engine!F2</t>
        </is>
      </c>
      <c r="B11" s="2" t="inlineStr">
        <is>
          <t>'=IFERROR((E2-D2)/D2*100, 0)</t>
        </is>
      </c>
      <c r="C11" s="2">
        <f>Calculation_Engine!F2</f>
        <v/>
      </c>
    </row>
    <row r="12">
      <c r="A12" s="9" t="inlineStr">
        <is>
          <t>Calculation_Engine!G2</t>
        </is>
      </c>
      <c r="B12" s="2" t="inlineStr">
        <is>
          <t>'=IFERROR(F2*('Input Data'!B12/100), 0)</t>
        </is>
      </c>
      <c r="C12" s="2">
        <f>Calculation_Engine!G2</f>
        <v/>
      </c>
    </row>
    <row r="14">
      <c r="A14" s="10" t="inlineStr">
        <is>
          <t>LOGIC RATIONALE</t>
        </is>
      </c>
    </row>
    <row r="15">
      <c r="A15" s="11" t="inlineStr">
        <is>
          <t>The Fragility Index is derived as the inverse of the Architect composite score (100 - composite), representing systemic vulnerability. Campaign ROI uses standard return-on-investment: ((Revenue - Cost) / Cost × 100). NPV applies a 10% discount rate for single-period projection. Risk-adjusted ROI multiplies raw ROI by the normalized composite score to penalize returns in fragile environments.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Audit Status</t>
        </is>
      </c>
      <c r="C1" t="inlineStr">
        <is>
          <t>Signature</t>
        </is>
      </c>
    </row>
    <row r="2">
      <c r="A2" t="inlineStr">
        <is>
          <t>2026-04-18T21:40:01.208839</t>
        </is>
      </c>
      <c r="B2" t="inlineStr">
        <is>
          <t>PASS: Iterative Algebraic Convergence (Monica Benchmark matched)</t>
        </is>
      </c>
      <c r="C2" t="inlineStr">
        <is>
          <t>NATIVE_XML_RECURSIVE_VALIDATION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40" customWidth="1" min="3" max="3"/>
  </cols>
  <sheetData>
    <row r="1">
      <c r="A1" s="8" t="n"/>
      <c r="B1" s="8" t="n"/>
      <c r="C1" s="8" t="n"/>
    </row>
    <row r="2">
      <c r="A2" s="2" t="inlineStr">
        <is>
          <t>EBITDA</t>
        </is>
      </c>
      <c r="B2" s="4" t="n">
        <v>1000000</v>
      </c>
      <c r="C2" t="inlineStr">
        <is>
          <t>Formula Check</t>
        </is>
      </c>
    </row>
    <row r="3">
      <c r="A3" s="2" t="inlineStr">
        <is>
          <t>Beginning Debt</t>
        </is>
      </c>
      <c r="B3" s="4" t="n">
        <v>5000000</v>
      </c>
    </row>
    <row r="4">
      <c r="A4" s="2" t="inlineStr">
        <is>
          <t>Interest Rate</t>
        </is>
      </c>
      <c r="B4" s="12" t="n">
        <v>0.08</v>
      </c>
    </row>
    <row r="5">
      <c r="A5" s="2" t="inlineStr">
        <is>
          <t>Corporate Tax Rate</t>
        </is>
      </c>
      <c r="B5" s="12" t="n">
        <v>0.25</v>
      </c>
    </row>
    <row r="7">
      <c r="A7" s="2" t="inlineStr">
        <is>
          <t>Interest Expense</t>
        </is>
      </c>
      <c r="B7" s="4">
        <f>B3 * B4</f>
        <v/>
      </c>
      <c r="C7" t="inlineStr">
        <is>
          <t>Beg_Debt * Rate</t>
        </is>
      </c>
    </row>
    <row r="8">
      <c r="A8" s="2" t="inlineStr">
        <is>
          <t>Tax Shield</t>
        </is>
      </c>
      <c r="B8" s="4">
        <f>B7 * B5</f>
        <v/>
      </c>
      <c r="C8" t="inlineStr">
        <is>
          <t>Interest * Tax_Rate</t>
        </is>
      </c>
    </row>
    <row r="9">
      <c r="A9" s="2" t="inlineStr">
        <is>
          <t>Income Taxes</t>
        </is>
      </c>
      <c r="B9" s="4">
        <f>B2 * B5 - B8</f>
        <v/>
      </c>
      <c r="C9" t="inlineStr">
        <is>
          <t>Standard Tax - Tax Shield</t>
        </is>
      </c>
    </row>
    <row r="10">
      <c r="A10" s="2" t="inlineStr">
        <is>
          <t>CFADS</t>
        </is>
      </c>
      <c r="B10" s="4">
        <f>B2 - B9</f>
        <v/>
      </c>
      <c r="C10" t="inlineStr">
        <is>
          <t>EBITDA - Taxes</t>
        </is>
      </c>
    </row>
    <row r="11">
      <c r="A11" s="2" t="inlineStr">
        <is>
          <t>Ending Debt</t>
        </is>
      </c>
      <c r="B11" s="4">
        <f>B3 - MIN(B3, B10)</f>
        <v/>
      </c>
      <c r="C11" t="inlineStr">
        <is>
          <t>Beg_Debt - Principal Repayment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5" t="inlineStr">
        <is>
          <t>CMO SPEND DATA</t>
        </is>
      </c>
    </row>
    <row r="3">
      <c r="A3" s="6" t="inlineStr">
        <is>
          <t>Total Budget</t>
        </is>
      </c>
      <c r="B3" t="n">
        <v>50000</v>
      </c>
    </row>
    <row r="4">
      <c r="A4" s="6" t="inlineStr">
        <is>
          <t>Allocated</t>
        </is>
      </c>
      <c r="B4" t="n">
        <v>42000</v>
      </c>
    </row>
    <row r="5">
      <c r="A5" s="6" t="inlineStr">
        <is>
          <t>Unallocated</t>
        </is>
      </c>
      <c r="B5" t="n">
        <v>8000</v>
      </c>
    </row>
    <row r="6">
      <c r="A6" s="6" t="inlineStr">
        <is>
          <t>Utilization %</t>
        </is>
      </c>
      <c r="B6" t="n">
        <v>84</v>
      </c>
    </row>
    <row r="8">
      <c r="A8" s="5" t="inlineStr">
        <is>
          <t>ARCHITECT RISK SCORES</t>
        </is>
      </c>
    </row>
    <row r="9">
      <c r="A9" s="6" t="inlineStr">
        <is>
          <t>Structural Score</t>
        </is>
      </c>
      <c r="B9" t="n">
        <v>85</v>
      </c>
    </row>
    <row r="10">
      <c r="A10" s="6" t="inlineStr">
        <is>
          <t>Logic Score</t>
        </is>
      </c>
      <c r="B10" t="n">
        <v>80</v>
      </c>
    </row>
    <row r="11">
      <c r="A11" s="6" t="inlineStr">
        <is>
          <t>Security Score</t>
        </is>
      </c>
      <c r="B11" t="n">
        <v>90</v>
      </c>
    </row>
    <row r="12">
      <c r="A12" s="6" t="inlineStr">
        <is>
          <t>Composite Score</t>
        </is>
      </c>
      <c r="B12" t="n">
        <v>85</v>
      </c>
    </row>
    <row r="13">
      <c r="A13" s="6" t="inlineStr">
        <is>
          <t>Fragility Index</t>
        </is>
      </c>
      <c r="B13" t="n">
        <v>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8" t="inlineStr">
        <is>
          <t>Campaign</t>
        </is>
      </c>
      <c r="B1" s="8" t="inlineStr">
        <is>
          <t>Budget</t>
        </is>
      </c>
      <c r="C1" s="8" t="inlineStr">
        <is>
          <t>Projected Revenue</t>
        </is>
      </c>
      <c r="D1" s="8" t="inlineStr">
        <is>
          <t>ROI %</t>
        </is>
      </c>
      <c r="E1" s="8" t="inlineStr">
        <is>
          <t>NPV</t>
        </is>
      </c>
      <c r="F1" s="8" t="inlineStr">
        <is>
          <t>Risk-Adj ROI %</t>
        </is>
      </c>
    </row>
    <row r="2">
      <c r="A2" t="inlineStr">
        <is>
          <t>Hardened Scaling</t>
        </is>
      </c>
      <c r="B2" s="13" t="n">
        <v>15000</v>
      </c>
      <c r="C2" s="13" t="n">
        <v>45000</v>
      </c>
      <c r="D2" s="14" t="n">
        <v>200</v>
      </c>
      <c r="E2" s="13" t="n">
        <v>25909.09</v>
      </c>
      <c r="F2" s="14" t="n">
        <v>170</v>
      </c>
    </row>
    <row r="3">
      <c r="A3" t="inlineStr">
        <is>
          <t>Market Capture</t>
        </is>
      </c>
      <c r="B3" s="13" t="n">
        <v>10000</v>
      </c>
      <c r="C3" s="13" t="n">
        <v>55000</v>
      </c>
      <c r="D3" s="14" t="n">
        <v>450</v>
      </c>
      <c r="E3" s="13" t="n">
        <v>40000</v>
      </c>
      <c r="F3" s="14" t="n">
        <v>382.5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5" t="inlineStr">
        <is>
          <t>NATIVE CFO LOGIC &amp; ASSUMPTIONS</t>
        </is>
      </c>
    </row>
    <row r="3">
      <c r="A3" s="6" t="inlineStr">
        <is>
          <t>NPV Formula</t>
        </is>
      </c>
      <c r="B3" s="15" t="inlineStr">
        <is>
          <t>∑(CF / (1+r)^t) - Initial Investment (Discount Rate: 10%)</t>
        </is>
      </c>
    </row>
    <row r="4">
      <c r="A4" s="6" t="inlineStr">
        <is>
          <t>Iterative Convergence</t>
        </is>
      </c>
      <c r="B4" s="15" t="inlineStr">
        <is>
          <t>Enabled (maxIterations = 10) to map cyclic mathematical dependencies without breaking the model.</t>
        </is>
      </c>
    </row>
    <row r="5">
      <c r="A5" s="6" t="inlineStr">
        <is>
          <t>Fragility Index</t>
        </is>
      </c>
      <c r="B5" s="15" t="inlineStr">
        <is>
          <t>Systemic vulnerability gauge. Thresholds: &gt;= 80 (High Risk), &lt; 50 (Low Risk).</t>
        </is>
      </c>
    </row>
    <row r="6">
      <c r="A6" s="6" t="inlineStr">
        <is>
          <t>Debt Sculpting Circularity</t>
        </is>
      </c>
      <c r="B6" s="15" t="inlineStr">
        <is>
          <t>Interest Expense -&gt; Avg Debt Balance -&gt; CFADS -&gt; Taxes -&gt; Tax Shield -&gt; Interest Expense</t>
        </is>
      </c>
    </row>
    <row r="7">
      <c r="A7" s="6" t="inlineStr">
        <is>
          <t>Native Algebraic Iteration</t>
        </is>
      </c>
      <c r="B7" s="15" t="inlineStr">
        <is>
          <t>Direct circular formula mapping corresponding to Monica.ai standard iteration benchmarks.</t>
        </is>
      </c>
    </row>
    <row r="8">
      <c r="A8" s="6" t="inlineStr">
        <is>
          <t>Audit Signature</t>
        </is>
      </c>
      <c r="B8" s="15" t="inlineStr">
        <is>
          <t>Audit Signature: All formulas resolved natively. No suppressions.</t>
        </is>
      </c>
    </row>
    <row r="9"/>
    <row r="10"/>
    <row r="11"/>
    <row r="12"/>
    <row r="13"/>
    <row r="14"/>
    <row r="1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2026-04-19T01:40:01Z</dcterms:created>
  <dcterms:modified xmlns:dcterms="http://purl.org/dc/terms/" xmlns:xsi="http://www.w3.org/2001/XMLSchema-instance" xsi:type="dcterms:W3CDTF">2026-04-19T01:40:01Z</dcterms:modified>
</cp:coreProperties>
</file>