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2026-03-31T23:11:53.172408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24</v>
      </c>
    </row>
    <row r="5">
      <c r="A5" s="3" t="inlineStr">
        <is>
          <t>Composite Score</t>
        </is>
      </c>
      <c r="B5" s="2" t="n">
        <v>76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4500000</v>
      </c>
    </row>
    <row r="9">
      <c r="A9" s="3" t="inlineStr">
        <is>
          <t>Total Projected Revenue</t>
        </is>
      </c>
      <c r="B9" s="4" t="n">
        <v>7000000</v>
      </c>
    </row>
    <row r="10">
      <c r="A10" s="3" t="inlineStr">
        <is>
          <t>Portfolio ROI %</t>
        </is>
      </c>
      <c r="B10" s="2" t="n">
        <v>55.56</v>
      </c>
    </row>
    <row r="11">
      <c r="A11" s="3" t="inlineStr">
        <is>
          <t>Campaign Count</t>
        </is>
      </c>
      <c r="B11" s="2" t="n">
        <v>3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90</v>
      </c>
    </row>
    <row r="15">
      <c r="A15" s="3" t="inlineStr">
        <is>
          <t>Allocated</t>
        </is>
      </c>
      <c r="B15" s="4" t="n">
        <v>4500000</v>
      </c>
    </row>
    <row r="16">
      <c r="A16" s="3" t="inlineStr">
        <is>
          <t>Unallocated</t>
        </is>
      </c>
      <c r="B16" s="2" t="n">
        <v>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>
        <f>100-Input_Data!B12  // Fragility Index</f>
        <v/>
      </c>
    </row>
    <row r="6">
      <c r="A6" s="9" t="inlineStr">
        <is>
          <t>Dashboard!B4</t>
        </is>
      </c>
      <c r="B6" s="2">
        <f>SUM(Campaign_Analysis!D:D)  // Total Spend</f>
        <v/>
      </c>
    </row>
    <row r="7">
      <c r="A7" s="9" t="inlineStr">
        <is>
          <t>Dashboard!B6</t>
        </is>
      </c>
      <c r="B7" s="2">
        <f>SUM(Campaign_Analysis!E:E)  // Total Revenue</f>
        <v/>
      </c>
    </row>
    <row r="8">
      <c r="A8" s="9" t="inlineStr">
        <is>
          <t>Dashboard!B8</t>
        </is>
      </c>
      <c r="B8" s="2">
        <f>((B6-B4)/B4)*100  // Portfolio ROI %</f>
        <v/>
      </c>
    </row>
    <row r="9">
      <c r="A9" s="9" t="inlineStr">
        <is>
          <t>Dashboard!B10</t>
        </is>
      </c>
      <c r="B9" s="2">
        <f>(Input_Data!B4/Input_Data!B3)*100  // Spend Utilization %</f>
        <v/>
      </c>
    </row>
    <row r="10">
      <c r="A10" s="9" t="inlineStr">
        <is>
          <t>Calculation_Engine!C2</t>
        </is>
      </c>
      <c r="B10" s="2">
        <f>E2/(1+$B$1)-D2  // NPV per campaign</f>
        <v/>
      </c>
    </row>
    <row r="11">
      <c r="A11" s="9" t="inlineStr">
        <is>
          <t>Calculation_Engine!F2</t>
        </is>
      </c>
      <c r="B11" s="2">
        <f>((E2-D2)/D2)*100  // ROI % per campaign</f>
        <v/>
      </c>
    </row>
    <row r="12">
      <c r="A12" s="9" t="inlineStr">
        <is>
          <t>Calculation_Engine!G2</t>
        </is>
      </c>
      <c r="B12" s="2">
        <f>F2*(Input_Data!B12/100)  // Risk-Adj ROI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2026-03-31T23:11:53.174523</t>
        </is>
      </c>
      <c r="B2" t="inlineStr">
        <is>
          <t>PASS: No Circular References (Iterative Dampening Active)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((B3+B11)/2 * B4*0.9) + (B7*0.1)</f>
        <v/>
      </c>
      <c r="C7" t="inlineStr">
        <is>
          <t>Avg(Beg_Debt, End_Debt)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5000000</v>
      </c>
    </row>
    <row r="4">
      <c r="A4" s="6" t="inlineStr">
        <is>
          <t>Allocated</t>
        </is>
      </c>
      <c r="B4" t="n">
        <v>4500000</v>
      </c>
    </row>
    <row r="5">
      <c r="A5" s="6" t="inlineStr">
        <is>
          <t>Unallocated</t>
        </is>
      </c>
      <c r="B5" t="n">
        <v>500000</v>
      </c>
    </row>
    <row r="6">
      <c r="A6" s="6" t="inlineStr">
        <is>
          <t>Utilization %</t>
        </is>
      </c>
      <c r="B6" t="n">
        <v>90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70</v>
      </c>
    </row>
    <row r="11">
      <c r="A11" s="6" t="inlineStr">
        <is>
          <t>Security Score</t>
        </is>
      </c>
      <c r="B11" t="n">
        <v>70</v>
      </c>
    </row>
    <row r="12">
      <c r="A12" s="6" t="inlineStr">
        <is>
          <t>Composite Score</t>
        </is>
      </c>
      <c r="B12" t="n">
        <v>76</v>
      </c>
    </row>
    <row r="13">
      <c r="A13" s="6" t="inlineStr">
        <is>
          <t>Fragility Index</t>
        </is>
      </c>
      <c r="B13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Alpha Defense</t>
        </is>
      </c>
      <c r="B2" s="13" t="n">
        <v>2000000</v>
      </c>
      <c r="C2" s="13" t="n">
        <v>3500000</v>
      </c>
      <c r="D2" s="14" t="n">
        <v>75</v>
      </c>
      <c r="E2" s="13" t="n">
        <v>1181818.18</v>
      </c>
      <c r="F2" s="14" t="n">
        <v>57</v>
      </c>
    </row>
    <row r="3">
      <c r="A3" t="inlineStr">
        <is>
          <t>War Room Expansion</t>
        </is>
      </c>
      <c r="B3" s="13" t="n">
        <v>1500000</v>
      </c>
      <c r="C3" s="13" t="n">
        <v>2100000</v>
      </c>
      <c r="D3" s="14" t="n">
        <v>40</v>
      </c>
      <c r="E3" s="13" t="n">
        <v>409090.91</v>
      </c>
      <c r="F3" s="14" t="n">
        <v>30.4</v>
      </c>
    </row>
    <row r="4">
      <c r="A4" t="inlineStr">
        <is>
          <t>Loki Arbitrage</t>
        </is>
      </c>
      <c r="B4" s="13" t="n">
        <v>1000000</v>
      </c>
      <c r="C4" s="13" t="n">
        <v>1400000</v>
      </c>
      <c r="D4" s="14" t="n">
        <v>40</v>
      </c>
      <c r="E4" s="13" t="n">
        <v>272727.27</v>
      </c>
      <c r="F4" s="14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2026-04-01T03:11:53Z</dcterms:created>
  <dcterms:modified xmlns:dcterms="http://purl.org/dc/terms/" xmlns:xsi="http://www.w3.org/2001/XMLSchema-instance" xsi:type="dcterms:W3CDTF">2026-04-01T03:11:53Z</dcterms:modified>
</cp:coreProperties>
</file>