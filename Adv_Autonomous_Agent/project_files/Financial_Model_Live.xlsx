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&amp;L Year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  <c r="C1" t="inlineStr">
        <is>
          <t>Description</t>
        </is>
      </c>
    </row>
    <row r="2">
      <c r="A2" t="inlineStr">
        <is>
          <t>unit_cost_product_a</t>
        </is>
      </c>
      <c r="B2" t="n">
        <v>0</v>
      </c>
    </row>
    <row r="3">
      <c r="A3" t="inlineStr">
        <is>
          <t>price_product_a</t>
        </is>
      </c>
      <c r="B3" t="n">
        <v>0</v>
      </c>
    </row>
    <row r="4">
      <c r="A4" t="inlineStr">
        <is>
          <t>unit_cost_product_b</t>
        </is>
      </c>
      <c r="B4" t="n">
        <v>0</v>
      </c>
    </row>
    <row r="5">
      <c r="A5" t="inlineStr">
        <is>
          <t>price_product_b</t>
        </is>
      </c>
      <c r="B5" t="n">
        <v>0</v>
      </c>
    </row>
    <row r="6">
      <c r="A6" t="inlineStr">
        <is>
          <t>fixed_costs_monthly</t>
        </is>
      </c>
      <c r="B6" t="n">
        <v>0</v>
      </c>
    </row>
    <row r="7">
      <c r="A7" t="inlineStr">
        <is>
          <t>startup_investment</t>
        </is>
      </c>
      <c r="B7" t="n">
        <v>0</v>
      </c>
    </row>
    <row r="8">
      <c r="A8" t="inlineStr">
        <is>
          <t>sales_growth_rate</t>
        </is>
      </c>
      <c r="B8" t="n">
        <v>0</v>
      </c>
    </row>
    <row r="9">
      <c r="A9" t="inlineStr">
        <is>
          <t>initial_sales_volume</t>
        </is>
      </c>
      <c r="B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3" max="3"/>
    <col width="15" customWidth="1" min="5" max="5"/>
    <col width="15" customWidth="1" min="7" max="7"/>
  </cols>
  <sheetData>
    <row r="1">
      <c r="A1" s="1" t="inlineStr">
        <is>
          <t>Month</t>
        </is>
      </c>
      <c r="B1" s="1" t="inlineStr">
        <is>
          <t>Volume</t>
        </is>
      </c>
      <c r="C1" s="1" t="inlineStr">
        <is>
          <t>Revenue</t>
        </is>
      </c>
      <c r="D1" s="1" t="inlineStr">
        <is>
          <t>COGS</t>
        </is>
      </c>
      <c r="E1" s="1" t="inlineStr">
        <is>
          <t>Gross Profit</t>
        </is>
      </c>
      <c r="F1" s="1" t="inlineStr">
        <is>
          <t>Fixed Costs</t>
        </is>
      </c>
      <c r="G1" s="1" t="inlineStr">
        <is>
          <t>Net Profit</t>
        </is>
      </c>
    </row>
    <row r="2">
      <c r="A2" t="n">
        <v>1</v>
      </c>
      <c r="B2">
        <f>Assumptions!B9*(1+Assumptions!B8)^(A2-1)</f>
        <v/>
      </c>
      <c r="C2" s="2">
        <f>(B2*0.5*Assumptions!B3)+(B2*0.5*Assumptions!B5)</f>
        <v/>
      </c>
      <c r="D2" s="2">
        <f>(B2*0.5*Assumptions!B2)+(B2*0.5*Assumptions!B4)</f>
        <v/>
      </c>
      <c r="E2" s="2">
        <f>C2-D2</f>
        <v/>
      </c>
      <c r="F2" s="2">
        <f>Assumptions!B6</f>
        <v/>
      </c>
      <c r="G2" s="2">
        <f>E2-F2</f>
        <v/>
      </c>
    </row>
    <row r="3">
      <c r="A3" t="n">
        <v>2</v>
      </c>
      <c r="B3">
        <f>Assumptions!B9*(1+Assumptions!B8)^(A3-1)</f>
        <v/>
      </c>
      <c r="C3" s="2">
        <f>(B3*0.5*Assumptions!B3)+(B3*0.5*Assumptions!B5)</f>
        <v/>
      </c>
      <c r="D3" s="2">
        <f>(B3*0.5*Assumptions!B2)+(B3*0.5*Assumptions!B4)</f>
        <v/>
      </c>
      <c r="E3" s="2">
        <f>C3-D3</f>
        <v/>
      </c>
      <c r="F3" s="2">
        <f>Assumptions!B6</f>
        <v/>
      </c>
      <c r="G3" s="2">
        <f>E3-F3</f>
        <v/>
      </c>
    </row>
    <row r="4">
      <c r="A4" t="n">
        <v>3</v>
      </c>
      <c r="B4">
        <f>Assumptions!B9*(1+Assumptions!B8)^(A4-1)</f>
        <v/>
      </c>
      <c r="C4" s="2">
        <f>(B4*0.5*Assumptions!B3)+(B4*0.5*Assumptions!B5)</f>
        <v/>
      </c>
      <c r="D4" s="2">
        <f>(B4*0.5*Assumptions!B2)+(B4*0.5*Assumptions!B4)</f>
        <v/>
      </c>
      <c r="E4" s="2">
        <f>C4-D4</f>
        <v/>
      </c>
      <c r="F4" s="2">
        <f>Assumptions!B6</f>
        <v/>
      </c>
      <c r="G4" s="2">
        <f>E4-F4</f>
        <v/>
      </c>
    </row>
    <row r="5">
      <c r="A5" t="n">
        <v>4</v>
      </c>
      <c r="B5">
        <f>Assumptions!B9*(1+Assumptions!B8)^(A5-1)</f>
        <v/>
      </c>
      <c r="C5" s="2">
        <f>(B5*0.5*Assumptions!B3)+(B5*0.5*Assumptions!B5)</f>
        <v/>
      </c>
      <c r="D5" s="2">
        <f>(B5*0.5*Assumptions!B2)+(B5*0.5*Assumptions!B4)</f>
        <v/>
      </c>
      <c r="E5" s="2">
        <f>C5-D5</f>
        <v/>
      </c>
      <c r="F5" s="2">
        <f>Assumptions!B6</f>
        <v/>
      </c>
      <c r="G5" s="2">
        <f>E5-F5</f>
        <v/>
      </c>
    </row>
    <row r="6">
      <c r="A6" t="n">
        <v>5</v>
      </c>
      <c r="B6">
        <f>Assumptions!B9*(1+Assumptions!B8)^(A6-1)</f>
        <v/>
      </c>
      <c r="C6" s="2">
        <f>(B6*0.5*Assumptions!B3)+(B6*0.5*Assumptions!B5)</f>
        <v/>
      </c>
      <c r="D6" s="2">
        <f>(B6*0.5*Assumptions!B2)+(B6*0.5*Assumptions!B4)</f>
        <v/>
      </c>
      <c r="E6" s="2">
        <f>C6-D6</f>
        <v/>
      </c>
      <c r="F6" s="2">
        <f>Assumptions!B6</f>
        <v/>
      </c>
      <c r="G6" s="2">
        <f>E6-F6</f>
        <v/>
      </c>
    </row>
    <row r="7">
      <c r="A7" t="n">
        <v>6</v>
      </c>
      <c r="B7">
        <f>Assumptions!B9*(1+Assumptions!B8)^(A7-1)</f>
        <v/>
      </c>
      <c r="C7" s="2">
        <f>(B7*0.5*Assumptions!B3)+(B7*0.5*Assumptions!B5)</f>
        <v/>
      </c>
      <c r="D7" s="2">
        <f>(B7*0.5*Assumptions!B2)+(B7*0.5*Assumptions!B4)</f>
        <v/>
      </c>
      <c r="E7" s="2">
        <f>C7-D7</f>
        <v/>
      </c>
      <c r="F7" s="2">
        <f>Assumptions!B6</f>
        <v/>
      </c>
      <c r="G7" s="2">
        <f>E7-F7</f>
        <v/>
      </c>
    </row>
    <row r="8">
      <c r="A8" t="n">
        <v>7</v>
      </c>
      <c r="B8">
        <f>Assumptions!B9*(1+Assumptions!B8)^(A8-1)</f>
        <v/>
      </c>
      <c r="C8" s="2">
        <f>(B8*0.5*Assumptions!B3)+(B8*0.5*Assumptions!B5)</f>
        <v/>
      </c>
      <c r="D8" s="2">
        <f>(B8*0.5*Assumptions!B2)+(B8*0.5*Assumptions!B4)</f>
        <v/>
      </c>
      <c r="E8" s="2">
        <f>C8-D8</f>
        <v/>
      </c>
      <c r="F8" s="2">
        <f>Assumptions!B6</f>
        <v/>
      </c>
      <c r="G8" s="2">
        <f>E8-F8</f>
        <v/>
      </c>
    </row>
    <row r="9">
      <c r="A9" t="n">
        <v>8</v>
      </c>
      <c r="B9">
        <f>Assumptions!B9*(1+Assumptions!B8)^(A9-1)</f>
        <v/>
      </c>
      <c r="C9" s="2">
        <f>(B9*0.5*Assumptions!B3)+(B9*0.5*Assumptions!B5)</f>
        <v/>
      </c>
      <c r="D9" s="2">
        <f>(B9*0.5*Assumptions!B2)+(B9*0.5*Assumptions!B4)</f>
        <v/>
      </c>
      <c r="E9" s="2">
        <f>C9-D9</f>
        <v/>
      </c>
      <c r="F9" s="2">
        <f>Assumptions!B6</f>
        <v/>
      </c>
      <c r="G9" s="2">
        <f>E9-F9</f>
        <v/>
      </c>
    </row>
    <row r="10">
      <c r="A10" t="n">
        <v>9</v>
      </c>
      <c r="B10">
        <f>Assumptions!B9*(1+Assumptions!B8)^(A10-1)</f>
        <v/>
      </c>
      <c r="C10" s="2">
        <f>(B10*0.5*Assumptions!B3)+(B10*0.5*Assumptions!B5)</f>
        <v/>
      </c>
      <c r="D10" s="2">
        <f>(B10*0.5*Assumptions!B2)+(B10*0.5*Assumptions!B4)</f>
        <v/>
      </c>
      <c r="E10" s="2">
        <f>C10-D10</f>
        <v/>
      </c>
      <c r="F10" s="2">
        <f>Assumptions!B6</f>
        <v/>
      </c>
      <c r="G10" s="2">
        <f>E10-F10</f>
        <v/>
      </c>
    </row>
    <row r="11">
      <c r="A11" t="n">
        <v>10</v>
      </c>
      <c r="B11">
        <f>Assumptions!B9*(1+Assumptions!B8)^(A11-1)</f>
        <v/>
      </c>
      <c r="C11" s="2">
        <f>(B11*0.5*Assumptions!B3)+(B11*0.5*Assumptions!B5)</f>
        <v/>
      </c>
      <c r="D11" s="2">
        <f>(B11*0.5*Assumptions!B2)+(B11*0.5*Assumptions!B4)</f>
        <v/>
      </c>
      <c r="E11" s="2">
        <f>C11-D11</f>
        <v/>
      </c>
      <c r="F11" s="2">
        <f>Assumptions!B6</f>
        <v/>
      </c>
      <c r="G11" s="2">
        <f>E11-F11</f>
        <v/>
      </c>
    </row>
    <row r="12">
      <c r="A12" t="n">
        <v>11</v>
      </c>
      <c r="B12">
        <f>Assumptions!B9*(1+Assumptions!B8)^(A12-1)</f>
        <v/>
      </c>
      <c r="C12" s="2">
        <f>(B12*0.5*Assumptions!B3)+(B12*0.5*Assumptions!B5)</f>
        <v/>
      </c>
      <c r="D12" s="2">
        <f>(B12*0.5*Assumptions!B2)+(B12*0.5*Assumptions!B4)</f>
        <v/>
      </c>
      <c r="E12" s="2">
        <f>C12-D12</f>
        <v/>
      </c>
      <c r="F12" s="2">
        <f>Assumptions!B6</f>
        <v/>
      </c>
      <c r="G12" s="2">
        <f>E12-F12</f>
        <v/>
      </c>
    </row>
    <row r="13">
      <c r="A13" t="n">
        <v>12</v>
      </c>
      <c r="B13">
        <f>Assumptions!B9*(1+Assumptions!B8)^(A13-1)</f>
        <v/>
      </c>
      <c r="C13" s="2">
        <f>(B13*0.5*Assumptions!B3)+(B13*0.5*Assumptions!B5)</f>
        <v/>
      </c>
      <c r="D13" s="2">
        <f>(B13*0.5*Assumptions!B2)+(B13*0.5*Assumptions!B4)</f>
        <v/>
      </c>
      <c r="E13" s="2">
        <f>C13-D13</f>
        <v/>
      </c>
      <c r="F13" s="2">
        <f>Assumptions!B6</f>
        <v/>
      </c>
      <c r="G13" s="2">
        <f>E13-F13</f>
        <v/>
      </c>
    </row>
    <row r="14">
      <c r="A14" s="1" t="inlineStr">
        <is>
          <t>TOTAL</t>
        </is>
      </c>
      <c r="B14" s="1">
        <f>SUM(B2:B13)</f>
        <v/>
      </c>
      <c r="C14" s="3">
        <f>SUM(C2:C13)</f>
        <v/>
      </c>
      <c r="D14" s="3">
        <f>SUM(D2:D13)</f>
        <v/>
      </c>
      <c r="E14" s="3">
        <f>SUM(E2:E13)</f>
        <v/>
      </c>
      <c r="F14" s="3">
        <f>SUM(F2:F13)</f>
        <v/>
      </c>
      <c r="G14" s="3">
        <f>SUM(G2:G13)</f>
        <v/>
      </c>
    </row>
    <row r="15">
      <c r="C15" s="2" t="n"/>
      <c r="D15" s="2" t="n"/>
      <c r="E15" s="2" t="n"/>
      <c r="F15" s="2" t="n"/>
      <c r="G1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2026-02-16T23:16:03Z</dcterms:created>
  <dcterms:modified xmlns:dcterms="http://purl.org/dc/terms/" xmlns:xsi="http://www.w3.org/2001/XMLSchema-instance" xsi:type="dcterms:W3CDTF">2026-02-16T23:16:03Z</dcterms:modified>
</cp:coreProperties>
</file>