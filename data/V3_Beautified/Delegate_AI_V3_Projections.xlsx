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Cost Distribution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gen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name val="Inter"/>
      <b val="1"/>
      <color rgb="00667EEA"/>
      <sz val="14"/>
    </font>
    <font>
      <name val="Roboto"/>
      <i val="1"/>
      <color rgb="0094A3B8"/>
      <sz val="9"/>
    </font>
    <font>
      <name val="Inter"/>
      <b val="1"/>
      <color rgb="001E293B"/>
      <sz val="11"/>
    </font>
    <font>
      <name val="Roboto"/>
      <color rgb="001E293B"/>
      <sz val="10"/>
    </font>
    <font>
      <name val="Inter"/>
      <b val="1"/>
      <color rgb="00667EEA"/>
      <sz val="12"/>
    </font>
    <font>
      <name val="Roboto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Revenue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P&amp;L'!C1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P&amp;L'!$A$2:$A$13</f>
            </numRef>
          </cat>
          <val>
            <numRef>
              <f>'Monthly P&amp;L'!$C$2:$C$13</f>
            </numRef>
          </val>
        </ser>
        <ser>
          <idx val="1"/>
          <order val="1"/>
          <tx>
            <strRef>
              <f>'Monthly P&amp;L'!G1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P&amp;L'!$G$2:$G$13</f>
            </numRef>
          </val>
        </ser>
        <ser>
          <idx val="2"/>
          <order val="2"/>
          <tx>
            <strRef>
              <f>'Monthly P&amp;L'!I1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P&amp;L'!$I$2:$I$13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'Cost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Distribution'!$A$2:$A$4</f>
            </numRef>
          </cat>
          <val>
            <numRef>
              <f>'Cost Distribution'!$B$2:$B$4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Delegate AI -- Antigravity-AI — Input Assumptions</t>
        </is>
      </c>
    </row>
    <row r="2">
      <c r="A2" s="2" t="inlineStr">
        <is>
          <t>Generated: March 17, 2026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Agents</t>
        </is>
      </c>
      <c r="B5" s="5" t="n">
        <v>18</v>
      </c>
      <c r="C5" s="6" t="inlineStr">
        <is>
          <t>Total specialist agents in V7 Router</t>
        </is>
      </c>
    </row>
    <row r="6">
      <c r="A6" s="4" t="inlineStr">
        <is>
          <t>Cost per Agent ($/mo)</t>
        </is>
      </c>
      <c r="B6" s="7" t="n">
        <v>50</v>
      </c>
      <c r="C6" s="6" t="inlineStr">
        <is>
          <t>Monthly cost per agent</t>
        </is>
      </c>
    </row>
    <row r="7">
      <c r="A7" s="4" t="inlineStr">
        <is>
          <t>Monthly Revenue (Base)</t>
        </is>
      </c>
      <c r="B7" s="7" t="n">
        <v>100000</v>
      </c>
      <c r="C7" s="6" t="inlineStr">
        <is>
          <t>Starting monthly revenue</t>
        </is>
      </c>
    </row>
    <row r="8">
      <c r="A8" s="4" t="inlineStr">
        <is>
          <t>Growth Rate (MoM)</t>
        </is>
      </c>
      <c r="B8" s="8" t="n">
        <v>0.08</v>
      </c>
      <c r="C8" s="6" t="inlineStr">
        <is>
          <t>Month-over-month growth rate</t>
        </is>
      </c>
    </row>
    <row r="9">
      <c r="A9" s="4" t="inlineStr">
        <is>
          <t>Fixed Costs ($/mo)</t>
        </is>
      </c>
      <c r="B9" s="7" t="n">
        <v>25000</v>
      </c>
      <c r="C9" s="6" t="inlineStr">
        <is>
          <t>Rent, infra, overhead</t>
        </is>
      </c>
    </row>
    <row r="10">
      <c r="A10" s="4" t="inlineStr">
        <is>
          <t>Startup Investment</t>
        </is>
      </c>
      <c r="B10" s="7" t="n">
        <v>150000</v>
      </c>
      <c r="C10" s="6" t="inlineStr">
        <is>
          <t>Initial capital deployed</t>
        </is>
      </c>
    </row>
    <row r="11">
      <c r="A11" s="4" t="inlineStr">
        <is>
          <t>Revenue per Agent</t>
        </is>
      </c>
      <c r="B11" s="7">
        <f>B7/B5</f>
        <v/>
      </c>
      <c r="C11" s="6">
        <f>B7/B5</f>
        <v/>
      </c>
    </row>
    <row r="12">
      <c r="A12" s="4" t="inlineStr">
        <is>
          <t>Total Annual Agent Cost</t>
        </is>
      </c>
      <c r="B12" s="5">
        <f>B5*B6*12</f>
        <v/>
      </c>
      <c r="C12" s="6">
        <f>B5*B6*12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Month</t>
        </is>
      </c>
      <c r="B1" s="3" t="inlineStr">
        <is>
          <t>Volume Factor</t>
        </is>
      </c>
      <c r="C1" s="3" t="inlineStr">
        <is>
          <t>Revenue</t>
        </is>
      </c>
      <c r="D1" s="3" t="inlineStr">
        <is>
          <t>Agent Costs</t>
        </is>
      </c>
      <c r="E1" s="3" t="inlineStr">
        <is>
          <t>Fixed Costs</t>
        </is>
      </c>
      <c r="F1" s="3" t="inlineStr">
        <is>
          <t>Gross Profit</t>
        </is>
      </c>
      <c r="G1" s="3" t="inlineStr">
        <is>
          <t>Net Profit</t>
        </is>
      </c>
      <c r="H1" s="3" t="inlineStr">
        <is>
          <t>Margin %</t>
        </is>
      </c>
      <c r="I1" s="3" t="inlineStr">
        <is>
          <t>Cumulative Profit</t>
        </is>
      </c>
    </row>
    <row r="2">
      <c r="A2" s="9" t="n">
        <v>1</v>
      </c>
      <c r="B2" s="10">
        <f>(1+Assumptions!B8)^(A2-1)</f>
        <v/>
      </c>
      <c r="C2" s="11">
        <f>Assumptions!B7*B2</f>
        <v/>
      </c>
      <c r="D2" s="11">
        <f>Assumptions!B5*Assumptions!B6</f>
        <v/>
      </c>
      <c r="E2" s="11">
        <f>Assumptions!B9</f>
        <v/>
      </c>
      <c r="F2" s="11">
        <f>C2-D2</f>
        <v/>
      </c>
      <c r="G2" s="11">
        <f>F2-E2</f>
        <v/>
      </c>
      <c r="H2" s="12">
        <f>IF(C2&gt;0,G2/C2,0)</f>
        <v/>
      </c>
      <c r="I2" s="11">
        <f>G2-Assumptions!B10</f>
        <v/>
      </c>
    </row>
    <row r="3">
      <c r="A3" s="9" t="n">
        <v>2</v>
      </c>
      <c r="B3" s="10">
        <f>(1+Assumptions!B8)^(A3-1)</f>
        <v/>
      </c>
      <c r="C3" s="11">
        <f>Assumptions!B7*B3</f>
        <v/>
      </c>
      <c r="D3" s="11">
        <f>Assumptions!B5*Assumptions!B6</f>
        <v/>
      </c>
      <c r="E3" s="11">
        <f>Assumptions!B9</f>
        <v/>
      </c>
      <c r="F3" s="11">
        <f>C3-D3</f>
        <v/>
      </c>
      <c r="G3" s="11">
        <f>F3-E3</f>
        <v/>
      </c>
      <c r="H3" s="12">
        <f>IF(C3&gt;0,G3/C3,0)</f>
        <v/>
      </c>
      <c r="I3" s="11">
        <f>I2+G3</f>
        <v/>
      </c>
    </row>
    <row r="4">
      <c r="A4" s="9" t="n">
        <v>3</v>
      </c>
      <c r="B4" s="10">
        <f>(1+Assumptions!B8)^(A4-1)</f>
        <v/>
      </c>
      <c r="C4" s="11">
        <f>Assumptions!B7*B4</f>
        <v/>
      </c>
      <c r="D4" s="11">
        <f>Assumptions!B5*Assumptions!B6</f>
        <v/>
      </c>
      <c r="E4" s="11">
        <f>Assumptions!B9</f>
        <v/>
      </c>
      <c r="F4" s="11">
        <f>C4-D4</f>
        <v/>
      </c>
      <c r="G4" s="11">
        <f>F4-E4</f>
        <v/>
      </c>
      <c r="H4" s="12">
        <f>IF(C4&gt;0,G4/C4,0)</f>
        <v/>
      </c>
      <c r="I4" s="11">
        <f>I3+G4</f>
        <v/>
      </c>
    </row>
    <row r="5">
      <c r="A5" s="9" t="n">
        <v>4</v>
      </c>
      <c r="B5" s="10">
        <f>(1+Assumptions!B8)^(A5-1)</f>
        <v/>
      </c>
      <c r="C5" s="11">
        <f>Assumptions!B7*B5</f>
        <v/>
      </c>
      <c r="D5" s="11">
        <f>Assumptions!B5*Assumptions!B6</f>
        <v/>
      </c>
      <c r="E5" s="11">
        <f>Assumptions!B9</f>
        <v/>
      </c>
      <c r="F5" s="11">
        <f>C5-D5</f>
        <v/>
      </c>
      <c r="G5" s="11">
        <f>F5-E5</f>
        <v/>
      </c>
      <c r="H5" s="12">
        <f>IF(C5&gt;0,G5/C5,0)</f>
        <v/>
      </c>
      <c r="I5" s="11">
        <f>I4+G5</f>
        <v/>
      </c>
    </row>
    <row r="6">
      <c r="A6" s="9" t="n">
        <v>5</v>
      </c>
      <c r="B6" s="10">
        <f>(1+Assumptions!B8)^(A6-1)</f>
        <v/>
      </c>
      <c r="C6" s="11">
        <f>Assumptions!B7*B6</f>
        <v/>
      </c>
      <c r="D6" s="11">
        <f>Assumptions!B5*Assumptions!B6</f>
        <v/>
      </c>
      <c r="E6" s="11">
        <f>Assumptions!B9</f>
        <v/>
      </c>
      <c r="F6" s="11">
        <f>C6-D6</f>
        <v/>
      </c>
      <c r="G6" s="11">
        <f>F6-E6</f>
        <v/>
      </c>
      <c r="H6" s="12">
        <f>IF(C6&gt;0,G6/C6,0)</f>
        <v/>
      </c>
      <c r="I6" s="11">
        <f>I5+G6</f>
        <v/>
      </c>
    </row>
    <row r="7">
      <c r="A7" s="9" t="n">
        <v>6</v>
      </c>
      <c r="B7" s="10">
        <f>(1+Assumptions!B8)^(A7-1)</f>
        <v/>
      </c>
      <c r="C7" s="11">
        <f>Assumptions!B7*B7</f>
        <v/>
      </c>
      <c r="D7" s="11">
        <f>Assumptions!B5*Assumptions!B6</f>
        <v/>
      </c>
      <c r="E7" s="11">
        <f>Assumptions!B9</f>
        <v/>
      </c>
      <c r="F7" s="11">
        <f>C7-D7</f>
        <v/>
      </c>
      <c r="G7" s="11">
        <f>F7-E7</f>
        <v/>
      </c>
      <c r="H7" s="12">
        <f>IF(C7&gt;0,G7/C7,0)</f>
        <v/>
      </c>
      <c r="I7" s="11">
        <f>I6+G7</f>
        <v/>
      </c>
    </row>
    <row r="8">
      <c r="A8" s="9" t="n">
        <v>7</v>
      </c>
      <c r="B8" s="10">
        <f>(1+Assumptions!B8)^(A8-1)</f>
        <v/>
      </c>
      <c r="C8" s="11">
        <f>Assumptions!B7*B8</f>
        <v/>
      </c>
      <c r="D8" s="11">
        <f>Assumptions!B5*Assumptions!B6</f>
        <v/>
      </c>
      <c r="E8" s="11">
        <f>Assumptions!B9</f>
        <v/>
      </c>
      <c r="F8" s="11">
        <f>C8-D8</f>
        <v/>
      </c>
      <c r="G8" s="11">
        <f>F8-E8</f>
        <v/>
      </c>
      <c r="H8" s="12">
        <f>IF(C8&gt;0,G8/C8,0)</f>
        <v/>
      </c>
      <c r="I8" s="11">
        <f>I7+G8</f>
        <v/>
      </c>
    </row>
    <row r="9">
      <c r="A9" s="9" t="n">
        <v>8</v>
      </c>
      <c r="B9" s="10">
        <f>(1+Assumptions!B8)^(A9-1)</f>
        <v/>
      </c>
      <c r="C9" s="11">
        <f>Assumptions!B7*B9</f>
        <v/>
      </c>
      <c r="D9" s="11">
        <f>Assumptions!B5*Assumptions!B6</f>
        <v/>
      </c>
      <c r="E9" s="11">
        <f>Assumptions!B9</f>
        <v/>
      </c>
      <c r="F9" s="11">
        <f>C9-D9</f>
        <v/>
      </c>
      <c r="G9" s="11">
        <f>F9-E9</f>
        <v/>
      </c>
      <c r="H9" s="12">
        <f>IF(C9&gt;0,G9/C9,0)</f>
        <v/>
      </c>
      <c r="I9" s="11">
        <f>I8+G9</f>
        <v/>
      </c>
    </row>
    <row r="10">
      <c r="A10" s="9" t="n">
        <v>9</v>
      </c>
      <c r="B10" s="10">
        <f>(1+Assumptions!B8)^(A10-1)</f>
        <v/>
      </c>
      <c r="C10" s="11">
        <f>Assumptions!B7*B10</f>
        <v/>
      </c>
      <c r="D10" s="11">
        <f>Assumptions!B5*Assumptions!B6</f>
        <v/>
      </c>
      <c r="E10" s="11">
        <f>Assumptions!B9</f>
        <v/>
      </c>
      <c r="F10" s="11">
        <f>C10-D10</f>
        <v/>
      </c>
      <c r="G10" s="11">
        <f>F10-E10</f>
        <v/>
      </c>
      <c r="H10" s="12">
        <f>IF(C10&gt;0,G10/C10,0)</f>
        <v/>
      </c>
      <c r="I10" s="11">
        <f>I9+G10</f>
        <v/>
      </c>
    </row>
    <row r="11">
      <c r="A11" s="9" t="n">
        <v>10</v>
      </c>
      <c r="B11" s="10">
        <f>(1+Assumptions!B8)^(A11-1)</f>
        <v/>
      </c>
      <c r="C11" s="11">
        <f>Assumptions!B7*B11</f>
        <v/>
      </c>
      <c r="D11" s="11">
        <f>Assumptions!B5*Assumptions!B6</f>
        <v/>
      </c>
      <c r="E11" s="11">
        <f>Assumptions!B9</f>
        <v/>
      </c>
      <c r="F11" s="11">
        <f>C11-D11</f>
        <v/>
      </c>
      <c r="G11" s="11">
        <f>F11-E11</f>
        <v/>
      </c>
      <c r="H11" s="12">
        <f>IF(C11&gt;0,G11/C11,0)</f>
        <v/>
      </c>
      <c r="I11" s="11">
        <f>I10+G11</f>
        <v/>
      </c>
    </row>
    <row r="12">
      <c r="A12" s="9" t="n">
        <v>11</v>
      </c>
      <c r="B12" s="10">
        <f>(1+Assumptions!B8)^(A12-1)</f>
        <v/>
      </c>
      <c r="C12" s="11">
        <f>Assumptions!B7*B12</f>
        <v/>
      </c>
      <c r="D12" s="11">
        <f>Assumptions!B5*Assumptions!B6</f>
        <v/>
      </c>
      <c r="E12" s="11">
        <f>Assumptions!B9</f>
        <v/>
      </c>
      <c r="F12" s="11">
        <f>C12-D12</f>
        <v/>
      </c>
      <c r="G12" s="11">
        <f>F12-E12</f>
        <v/>
      </c>
      <c r="H12" s="12">
        <f>IF(C12&gt;0,G12/C12,0)</f>
        <v/>
      </c>
      <c r="I12" s="11">
        <f>I11+G12</f>
        <v/>
      </c>
    </row>
    <row r="13">
      <c r="A13" s="9" t="n">
        <v>12</v>
      </c>
      <c r="B13" s="10">
        <f>(1+Assumptions!B8)^(A13-1)</f>
        <v/>
      </c>
      <c r="C13" s="11">
        <f>Assumptions!B7*B13</f>
        <v/>
      </c>
      <c r="D13" s="11">
        <f>Assumptions!B5*Assumptions!B6</f>
        <v/>
      </c>
      <c r="E13" s="11">
        <f>Assumptions!B9</f>
        <v/>
      </c>
      <c r="F13" s="11">
        <f>C13-D13</f>
        <v/>
      </c>
      <c r="G13" s="11">
        <f>F13-E13</f>
        <v/>
      </c>
      <c r="H13" s="12">
        <f>IF(C13&gt;0,G13/C13,0)</f>
        <v/>
      </c>
      <c r="I13" s="11">
        <f>I12+G13</f>
        <v/>
      </c>
    </row>
    <row r="14">
      <c r="A14" s="13" t="inlineStr">
        <is>
          <t>TOTAL</t>
        </is>
      </c>
      <c r="C14" s="14">
        <f>SUM(C2:C13)</f>
        <v/>
      </c>
      <c r="D14" s="14">
        <f>SUM(D2:D13)</f>
        <v/>
      </c>
      <c r="E14" s="14">
        <f>SUM(E2:E13)</f>
        <v/>
      </c>
      <c r="F14" s="14">
        <f>SUM(F2:F13)</f>
        <v/>
      </c>
      <c r="G14" s="14">
        <f>SUM(G2:G13)</f>
        <v/>
      </c>
      <c r="H14" s="15">
        <f>IF(C14&gt;0,G14/C14,0)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Category</t>
        </is>
      </c>
      <c r="B1" s="3" t="inlineStr">
        <is>
          <t>Monthly Cost</t>
        </is>
      </c>
      <c r="C1" s="3" t="inlineStr">
        <is>
          <t>Annual Cost</t>
        </is>
      </c>
      <c r="D1" s="3" t="inlineStr">
        <is>
          <t>% of Total</t>
        </is>
      </c>
    </row>
    <row r="2">
      <c r="A2" s="4" t="inlineStr">
        <is>
          <t>Agent Costs</t>
        </is>
      </c>
      <c r="B2" s="11">
        <f>Assumptions!B5*Assumptions!B6</f>
        <v/>
      </c>
      <c r="C2" s="11">
        <f>B2*12</f>
        <v/>
      </c>
      <c r="D2" s="12">
        <f>IF(B5&gt;0,B2/B5,0)</f>
        <v/>
      </c>
    </row>
    <row r="3">
      <c r="A3" s="4" t="inlineStr">
        <is>
          <t>Fixed Costs</t>
        </is>
      </c>
      <c r="B3" s="11">
        <f>Assumptions!B9</f>
        <v/>
      </c>
      <c r="C3" s="11">
        <f>B3*12</f>
        <v/>
      </c>
      <c r="D3" s="12">
        <f>IF(B5&gt;0,B3/B5,0)</f>
        <v/>
      </c>
    </row>
    <row r="4">
      <c r="A4" s="4" t="inlineStr">
        <is>
          <t>Investment (Amortized 12mo)</t>
        </is>
      </c>
      <c r="B4" s="11">
        <f>Assumptions!B10/12</f>
        <v/>
      </c>
      <c r="C4" s="11">
        <f>B4*12</f>
        <v/>
      </c>
      <c r="D4" s="12">
        <f>IF(B5&gt;0,B4/B5,0)</f>
        <v/>
      </c>
    </row>
    <row r="5">
      <c r="A5" s="13" t="inlineStr">
        <is>
          <t>TOTAL</t>
        </is>
      </c>
      <c r="B5" s="14">
        <f>SUM(B2:B4)</f>
        <v/>
      </c>
      <c r="C5" s="14">
        <f>SUM(C2:C4)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What-If: Cost Sensitivity Analysis</t>
        </is>
      </c>
    </row>
    <row r="3">
      <c r="A3" s="3" t="inlineStr">
        <is>
          <t>Scenario</t>
        </is>
      </c>
      <c r="B3" s="3" t="inlineStr">
        <is>
          <t>Agent Cost</t>
        </is>
      </c>
      <c r="C3" s="3" t="inlineStr">
        <is>
          <t>Fixed Cost</t>
        </is>
      </c>
      <c r="D3" s="3" t="inlineStr">
        <is>
          <t>Annual Net Profit</t>
        </is>
      </c>
      <c r="E3" s="3" t="inlineStr">
        <is>
          <t>Margin %</t>
        </is>
      </c>
    </row>
    <row r="4">
      <c r="A4" s="4" t="inlineStr">
        <is>
          <t>Base Case</t>
        </is>
      </c>
      <c r="B4" s="11">
        <f>Assumptions!B6*1.0</f>
        <v/>
      </c>
      <c r="C4" s="11">
        <f>Assumptions!B9*1.0</f>
        <v/>
      </c>
      <c r="D4" s="11">
        <f>(Assumptions!B7*12-Assumptions!B5*B4*12-C4*12)</f>
        <v/>
      </c>
      <c r="E4" s="12">
        <f>IF(Assumptions!B7*12&gt;0,D4/(Assumptions!B7*12),0)</f>
        <v/>
      </c>
    </row>
    <row r="5">
      <c r="A5" s="4" t="inlineStr">
        <is>
          <t>Costs +25%</t>
        </is>
      </c>
      <c r="B5" s="11">
        <f>Assumptions!B6*1.25</f>
        <v/>
      </c>
      <c r="C5" s="11">
        <f>Assumptions!B9*1.25</f>
        <v/>
      </c>
      <c r="D5" s="11">
        <f>(Assumptions!B7*12-Assumptions!B5*B5*12-C5*12)</f>
        <v/>
      </c>
      <c r="E5" s="12">
        <f>IF(Assumptions!B7*12&gt;0,D5/(Assumptions!B7*12),0)</f>
        <v/>
      </c>
    </row>
    <row r="6">
      <c r="A6" s="4" t="inlineStr">
        <is>
          <t>Costs +50%</t>
        </is>
      </c>
      <c r="B6" s="11">
        <f>Assumptions!B6*1.5</f>
        <v/>
      </c>
      <c r="C6" s="11">
        <f>Assumptions!B9*1.5</f>
        <v/>
      </c>
      <c r="D6" s="11">
        <f>(Assumptions!B7*12-Assumptions!B5*B6*12-C6*12)</f>
        <v/>
      </c>
      <c r="E6" s="12">
        <f>IF(Assumptions!B7*12&gt;0,D6/(Assumptions!B7*12),0)</f>
        <v/>
      </c>
    </row>
    <row r="7">
      <c r="A7" s="4" t="inlineStr">
        <is>
          <t>Costs Doubled</t>
        </is>
      </c>
      <c r="B7" s="11">
        <f>Assumptions!B6*2.0</f>
        <v/>
      </c>
      <c r="C7" s="11">
        <f>Assumptions!B9*2.0</f>
        <v/>
      </c>
      <c r="D7" s="11">
        <f>(Assumptions!B7*12-Assumptions!B5*B7*12-C7*12)</f>
        <v/>
      </c>
      <c r="E7" s="12">
        <f>IF(Assumptions!B7*12&gt;0,D7/(Assumptions!B7*12),0)</f>
        <v/>
      </c>
    </row>
    <row r="8">
      <c r="A8" s="4" t="inlineStr">
        <is>
          <t>Costs Tripled</t>
        </is>
      </c>
      <c r="B8" s="11">
        <f>Assumptions!B6*3.0</f>
        <v/>
      </c>
      <c r="C8" s="11">
        <f>Assumptions!B9*3.0</f>
        <v/>
      </c>
      <c r="D8" s="11">
        <f>(Assumptions!B7*12-Assumptions!B5*B8*12-C8*12)</f>
        <v/>
      </c>
      <c r="E8" s="12">
        <f>IF(Assumptions!B7*12&gt;0,D8/(Assumptions!B7*12),0)</f>
        <v/>
      </c>
    </row>
    <row r="9">
      <c r="A9" s="4" t="inlineStr">
        <is>
          <t>Revenue -20%</t>
        </is>
      </c>
      <c r="B9" s="11">
        <f>Assumptions!B6*1.0</f>
        <v/>
      </c>
      <c r="C9" s="11">
        <f>Assumptions!B9*1.0</f>
        <v/>
      </c>
      <c r="D9" s="11">
        <f>(Assumptions!B7*0.8*12-Assumptions!B5*Assumptions!B6*12-Assumptions!B9*12)</f>
        <v/>
      </c>
      <c r="E9" s="12">
        <f>IF(Assumptions!B7*0.8*12&gt;0,D9/(Assumptions!B7*0.8*12),0)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Agent</t>
        </is>
      </c>
      <c r="B1" s="3" t="inlineStr">
        <is>
          <t>Monthly Cost</t>
        </is>
      </c>
      <c r="C1" s="3" t="inlineStr">
        <is>
          <t>Decisions/Mo</t>
        </is>
      </c>
      <c r="D1" s="3" t="inlineStr">
        <is>
          <t>Cost/Decision</t>
        </is>
      </c>
      <c r="E1" s="3" t="inlineStr">
        <is>
          <t>ROI Contribution</t>
        </is>
      </c>
    </row>
    <row r="2">
      <c r="A2" s="9" t="inlineStr">
        <is>
          <t>CEO</t>
        </is>
      </c>
      <c r="B2" s="11">
        <f>Assumptions!B6</f>
        <v/>
      </c>
      <c r="C2" s="9" t="n">
        <v>150</v>
      </c>
      <c r="D2" s="11">
        <f>IF(C2&gt;0,B2/C2,0)</f>
        <v/>
      </c>
      <c r="E2" s="9">
        <f>IF(B2&gt;0,(Assumptions!B7/Assumptions!B5)/B2,0)</f>
        <v/>
      </c>
    </row>
    <row r="3">
      <c r="A3" s="9" t="inlineStr">
        <is>
          <t>CFO</t>
        </is>
      </c>
      <c r="B3" s="11">
        <f>Assumptions!B6</f>
        <v/>
      </c>
      <c r="C3" s="9" t="n">
        <v>170</v>
      </c>
      <c r="D3" s="11">
        <f>IF(C3&gt;0,B3/C3,0)</f>
        <v/>
      </c>
      <c r="E3" s="9">
        <f>IF(B3&gt;0,(Assumptions!B7/Assumptions!B5)/B3,0)</f>
        <v/>
      </c>
    </row>
    <row r="4">
      <c r="A4" s="9" t="inlineStr">
        <is>
          <t>CTO</t>
        </is>
      </c>
      <c r="B4" s="11">
        <f>Assumptions!B6</f>
        <v/>
      </c>
      <c r="C4" s="9" t="n">
        <v>190</v>
      </c>
      <c r="D4" s="11">
        <f>IF(C4&gt;0,B4/C4,0)</f>
        <v/>
      </c>
      <c r="E4" s="9">
        <f>IF(B4&gt;0,(Assumptions!B7/Assumptions!B5)/B4,0)</f>
        <v/>
      </c>
    </row>
    <row r="5">
      <c r="A5" s="9" t="inlineStr">
        <is>
          <t>CMO</t>
        </is>
      </c>
      <c r="B5" s="11">
        <f>Assumptions!B6</f>
        <v/>
      </c>
      <c r="C5" s="9" t="n">
        <v>210</v>
      </c>
      <c r="D5" s="11">
        <f>IF(C5&gt;0,B5/C5,0)</f>
        <v/>
      </c>
      <c r="E5" s="9">
        <f>IF(B5&gt;0,(Assumptions!B7/Assumptions!B5)/B5,0)</f>
        <v/>
      </c>
    </row>
    <row r="6">
      <c r="A6" s="9" t="inlineStr">
        <is>
          <t>Deep Crawler</t>
        </is>
      </c>
      <c r="B6" s="11">
        <f>Assumptions!B6</f>
        <v/>
      </c>
      <c r="C6" s="9" t="n">
        <v>230</v>
      </c>
      <c r="D6" s="11">
        <f>IF(C6&gt;0,B6/C6,0)</f>
        <v/>
      </c>
      <c r="E6" s="9">
        <f>IF(B6&gt;0,(Assumptions!B7/Assumptions!B5)/B6,0)</f>
        <v/>
      </c>
    </row>
    <row r="7">
      <c r="A7" s="9" t="inlineStr">
        <is>
          <t>The Critic</t>
        </is>
      </c>
      <c r="B7" s="11">
        <f>Assumptions!B6</f>
        <v/>
      </c>
      <c r="C7" s="9" t="n">
        <v>250</v>
      </c>
      <c r="D7" s="11">
        <f>IF(C7&gt;0,B7/C7,0)</f>
        <v/>
      </c>
      <c r="E7" s="9">
        <f>IF(B7&gt;0,(Assumptions!B7/Assumptions!B5)/B7,0)</f>
        <v/>
      </c>
    </row>
    <row r="8">
      <c r="A8" s="9" t="inlineStr">
        <is>
          <t>The Librarian</t>
        </is>
      </c>
      <c r="B8" s="11">
        <f>Assumptions!B6</f>
        <v/>
      </c>
      <c r="C8" s="9" t="n">
        <v>270</v>
      </c>
      <c r="D8" s="11">
        <f>IF(C8&gt;0,B8/C8,0)</f>
        <v/>
      </c>
      <c r="E8" s="9">
        <f>IF(B8&gt;0,(Assumptions!B7/Assumptions!B5)/B8,0)</f>
        <v/>
      </c>
    </row>
    <row r="9">
      <c r="A9" s="9" t="inlineStr">
        <is>
          <t>Compliance</t>
        </is>
      </c>
      <c r="B9" s="11">
        <f>Assumptions!B6</f>
        <v/>
      </c>
      <c r="C9" s="9" t="n">
        <v>290</v>
      </c>
      <c r="D9" s="11">
        <f>IF(C9&gt;0,B9/C9,0)</f>
        <v/>
      </c>
      <c r="E9" s="9">
        <f>IF(B9&gt;0,(Assumptions!B7/Assumptions!B5)/B9,0)</f>
        <v/>
      </c>
    </row>
    <row r="10">
      <c r="A10" s="9" t="inlineStr">
        <is>
          <t>Data Architect</t>
        </is>
      </c>
      <c r="B10" s="11">
        <f>Assumptions!B6</f>
        <v/>
      </c>
      <c r="C10" s="9" t="n">
        <v>310</v>
      </c>
      <c r="D10" s="11">
        <f>IF(C10&gt;0,B10/C10,0)</f>
        <v/>
      </c>
      <c r="E10" s="9">
        <f>IF(B10&gt;0,(Assumptions!B7/Assumptions!B5)/B10,0)</f>
        <v/>
      </c>
    </row>
    <row r="11">
      <c r="A11" s="9" t="inlineStr">
        <is>
          <t>Researcher</t>
        </is>
      </c>
      <c r="B11" s="11">
        <f>Assumptions!B6</f>
        <v/>
      </c>
      <c r="C11" s="9" t="n">
        <v>330</v>
      </c>
      <c r="D11" s="11">
        <f>IF(C11&gt;0,B11/C11,0)</f>
        <v/>
      </c>
      <c r="E11" s="9">
        <f>IF(B11&gt;0,(Assumptions!B7/Assumptions!B5)/B11,0)</f>
        <v/>
      </c>
    </row>
    <row r="12">
      <c r="A12" s="9" t="inlineStr">
        <is>
          <t>Designer</t>
        </is>
      </c>
      <c r="B12" s="11">
        <f>Assumptions!B6</f>
        <v/>
      </c>
      <c r="C12" s="9" t="n">
        <v>350</v>
      </c>
      <c r="D12" s="11">
        <f>IF(C12&gt;0,B12/C12,0)</f>
        <v/>
      </c>
      <c r="E12" s="9">
        <f>IF(B12&gt;0,(Assumptions!B7/Assumptions!B5)/B12,0)</f>
        <v/>
      </c>
    </row>
    <row r="13">
      <c r="A13" s="9" t="inlineStr">
        <is>
          <t>Presentations</t>
        </is>
      </c>
      <c r="B13" s="11">
        <f>Assumptions!B6</f>
        <v/>
      </c>
      <c r="C13" s="9" t="n">
        <v>370</v>
      </c>
      <c r="D13" s="11">
        <f>IF(C13&gt;0,B13/C13,0)</f>
        <v/>
      </c>
      <c r="E13" s="9">
        <f>IF(B13&gt;0,(Assumptions!B7/Assumptions!B5)/B13,0)</f>
        <v/>
      </c>
    </row>
    <row r="14">
      <c r="A14" s="9" t="inlineStr">
        <is>
          <t>CX Strategist</t>
        </is>
      </c>
      <c r="B14" s="11">
        <f>Assumptions!B6</f>
        <v/>
      </c>
      <c r="C14" s="9" t="n">
        <v>390</v>
      </c>
      <c r="D14" s="11">
        <f>IF(C14&gt;0,B14/C14,0)</f>
        <v/>
      </c>
      <c r="E14" s="9">
        <f>IF(B14&gt;0,(Assumptions!B7/Assumptions!B5)/B14,0)</f>
        <v/>
      </c>
    </row>
    <row r="15">
      <c r="A15" s="9" t="inlineStr">
        <is>
          <t>Aether</t>
        </is>
      </c>
      <c r="B15" s="11">
        <f>Assumptions!B6</f>
        <v/>
      </c>
      <c r="C15" s="9" t="n">
        <v>410</v>
      </c>
      <c r="D15" s="11">
        <f>IF(C15&gt;0,B15/C15,0)</f>
        <v/>
      </c>
      <c r="E15" s="9">
        <f>IF(B15&gt;0,(Assumptions!B7/Assumptions!B5)/B15,0)</f>
        <v/>
      </c>
    </row>
    <row r="16">
      <c r="A16" s="9" t="inlineStr">
        <is>
          <t>Delegate AI</t>
        </is>
      </c>
      <c r="B16" s="11">
        <f>Assumptions!B6</f>
        <v/>
      </c>
      <c r="C16" s="9" t="n">
        <v>430</v>
      </c>
      <c r="D16" s="11">
        <f>IF(C16&gt;0,B16/C16,0)</f>
        <v/>
      </c>
      <c r="E16" s="9">
        <f>IF(B16&gt;0,(Assumptions!B7/Assumptions!B5)/B16,0)</f>
        <v/>
      </c>
    </row>
    <row r="17">
      <c r="A17" s="9" t="inlineStr">
        <is>
          <t>EQ Engine</t>
        </is>
      </c>
      <c r="B17" s="11">
        <f>Assumptions!B6</f>
        <v/>
      </c>
      <c r="C17" s="9" t="n">
        <v>450</v>
      </c>
      <c r="D17" s="11">
        <f>IF(C17&gt;0,B17/C17,0)</f>
        <v/>
      </c>
      <c r="E17" s="9">
        <f>IF(B17&gt;0,(Assumptions!B7/Assumptions!B5)/B17,0)</f>
        <v/>
      </c>
    </row>
    <row r="18">
      <c r="A18" s="9" t="inlineStr">
        <is>
          <t>GeoTalent Scout</t>
        </is>
      </c>
      <c r="B18" s="11">
        <f>Assumptions!B6</f>
        <v/>
      </c>
      <c r="C18" s="9" t="n">
        <v>470</v>
      </c>
      <c r="D18" s="11">
        <f>IF(C18&gt;0,B18/C18,0)</f>
        <v/>
      </c>
      <c r="E18" s="9">
        <f>IF(B18&gt;0,(Assumptions!B7/Assumptions!B5)/B18,0)</f>
        <v/>
      </c>
    </row>
    <row r="19">
      <c r="A19" s="9" t="inlineStr">
        <is>
          <t>News Bureau</t>
        </is>
      </c>
      <c r="B19" s="11">
        <f>Assumptions!B6</f>
        <v/>
      </c>
      <c r="C19" s="9" t="n">
        <v>490</v>
      </c>
      <c r="D19" s="11">
        <f>IF(C19&gt;0,B19/C19,0)</f>
        <v/>
      </c>
      <c r="E19" s="9">
        <f>IF(B19&gt;0,(Assumptions!B7/Assumptions!B5)/B19,0)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2026-03-17T16:51:51Z</dcterms:created>
  <dcterms:modified xmlns:dcterms="http://purl.org/dc/terms/" xmlns:xsi="http://www.w3.org/2001/XMLSchema-instance" xsi:type="dcterms:W3CDTF">2026-03-17T16:51:51Z</dcterms:modified>
</cp:coreProperties>
</file>