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 &amp; Assumptions" sheetId="1" state="visible" r:id="rId1"/>
    <sheet xmlns:r="http://schemas.openxmlformats.org/officeDocument/2006/relationships" name="5-Year P&amp;L" sheetId="2" state="visible" r:id="rId2"/>
    <sheet xmlns:r="http://schemas.openxmlformats.org/officeDocument/2006/relationships" name="Market Share" sheetId="3" state="visible" r:id="rId3"/>
    <sheet xmlns:r="http://schemas.openxmlformats.org/officeDocument/2006/relationships" name="Sensitivity Analysis" sheetId="4" state="visible" r:id="rId4"/>
    <sheet xmlns:r="http://schemas.openxmlformats.org/officeDocument/2006/relationships" name="Agen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0.000"/>
  </numFmts>
  <fonts count="8">
    <font>
      <name val="Calibri"/>
      <family val="2"/>
      <color theme="1"/>
      <sz val="11"/>
      <scheme val="minor"/>
    </font>
    <font>
      <name val="Inter"/>
      <b val="1"/>
      <color rgb="00667EEA"/>
      <sz val="14"/>
    </font>
    <font>
      <name val="Roboto"/>
      <i val="1"/>
      <color rgb="0094A3B8"/>
      <sz val="9"/>
    </font>
    <font>
      <name val="Inter"/>
      <b val="1"/>
      <color rgb="001E293B"/>
      <sz val="11"/>
    </font>
    <font>
      <name val="Roboto"/>
      <color rgb="001E293B"/>
      <sz val="10"/>
    </font>
    <font>
      <name val="Inter"/>
      <b val="1"/>
      <color rgb="00667EEA"/>
      <sz val="12"/>
    </font>
    <font>
      <name val="Inter"/>
      <b val="1"/>
      <color rgb="0010B981"/>
      <sz val="12"/>
    </font>
    <font>
      <name val="Inter"/>
      <b val="1"/>
      <color rgb="0010B981"/>
      <sz val="14"/>
    </font>
  </fonts>
  <fills count="5">
    <fill>
      <patternFill/>
    </fill>
    <fill>
      <patternFill patternType="gray125"/>
    </fill>
    <fill>
      <patternFill patternType="solid">
        <fgColor rgb="00EEF2FF"/>
        <bgColor rgb="00EEF2FF"/>
      </patternFill>
    </fill>
    <fill>
      <patternFill patternType="solid">
        <fgColor rgb="00ECFDF5"/>
        <bgColor rgb="00ECFDF5"/>
      </patternFill>
    </fill>
    <fill>
      <patternFill patternType="solid">
        <fgColor rgb="00FEF2F2"/>
        <bgColor rgb="00FEF2F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0" fontId="3" fillId="2" borderId="1" pivotButton="0" quotePrefix="0" xfId="0"/>
    <xf numFmtId="0" fontId="1" fillId="0" borderId="1" pivotButton="0" quotePrefix="0" xfId="0"/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0" fontId="3" fillId="3" borderId="1" pivotButton="0" quotePrefix="0" xfId="0"/>
    <xf numFmtId="164" fontId="3" fillId="3" borderId="1" pivotButton="0" quotePrefix="0" xfId="0"/>
    <xf numFmtId="0" fontId="5" fillId="2" borderId="1" pivotButton="0" quotePrefix="0" xfId="0"/>
    <xf numFmtId="164" fontId="5" fillId="2" borderId="1" pivotButton="0" quotePrefix="0" xfId="0"/>
    <xf numFmtId="0" fontId="6" fillId="0" borderId="0" pivotButton="0" quotePrefix="0" xfId="0"/>
    <xf numFmtId="165" fontId="7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5-Year Break-Even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'5-Year P&amp;L'!J1</f>
            </strRef>
          </tx>
          <spPr>
            <a:ln xmlns:a="http://schemas.openxmlformats.org/drawingml/2006/main" w="30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'5-Year P&amp;L'!$A$2:$A$61</f>
            </numRef>
          </cat>
          <val>
            <numRef>
              <f>'5-Year P&amp;L'!$J$2:$J$61</f>
            </numRef>
          </val>
        </ser>
        <ser>
          <idx val="1"/>
          <order val="1"/>
          <tx>
            <strRef>
              <f>'5-Year P&amp;L'!D1</f>
            </strRef>
          </tx>
          <spPr>
            <a:ln xmlns:a="http://schemas.openxmlformats.org/drawingml/2006/main"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'5-Year P&amp;L'!$A$2:$A$61</f>
            </numRef>
          </cat>
          <val>
            <numRef>
              <f>'5-Year P&amp;L'!$D$2:$D$61</f>
            </numRef>
          </val>
        </ser>
        <ser>
          <idx val="2"/>
          <order val="2"/>
          <tx>
            <strRef>
              <f>'5-Year P&amp;L'!H1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'5-Year P&amp;L'!$A$2:$A$61</f>
            </numRef>
          </cat>
          <val>
            <numRef>
              <f>'5-Year P&amp;L'!$H$2:$H$61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Market Share</a:t>
            </a:r>
          </a:p>
        </rich>
      </tx>
    </title>
    <plotArea>
      <pieChart>
        <varyColors val="1"/>
        <ser>
          <idx val="0"/>
          <order val="0"/>
          <tx>
            <strRef>
              <f>'Market Share'!B3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'Market Share'!$A$4:$A$8</f>
            </numRef>
          </cat>
          <val>
            <numRef>
              <f>'Market Share'!$B$4:$B$8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64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1" t="inlineStr">
        <is>
          <t>Delegate AI — Inputs &amp; Assumptions (5-Year Model)</t>
        </is>
      </c>
    </row>
    <row r="2">
      <c r="A2" s="2" t="inlineStr">
        <is>
          <t>Generated: March 11, 2026 | Creative Director V3 Final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Description</t>
        </is>
      </c>
    </row>
    <row r="5">
      <c r="A5" s="4" t="inlineStr">
        <is>
          <t>Total Agents</t>
        </is>
      </c>
      <c r="B5" s="5" t="n">
        <v>18</v>
      </c>
      <c r="C5" s="6" t="inlineStr">
        <is>
          <t>agents</t>
        </is>
      </c>
      <c r="D5" s="6" t="inlineStr">
        <is>
          <t>V7 Router specialist agents</t>
        </is>
      </c>
    </row>
    <row r="6">
      <c r="A6" s="4" t="inlineStr">
        <is>
          <t>Cost per Agent</t>
        </is>
      </c>
      <c r="B6" s="7" t="n">
        <v>50</v>
      </c>
      <c r="C6" s="6" t="inlineStr">
        <is>
          <t>$/month</t>
        </is>
      </c>
      <c r="D6" s="6" t="inlineStr">
        <is>
          <t>Monthly per-agent cost</t>
        </is>
      </c>
    </row>
    <row r="7">
      <c r="A7" s="4" t="inlineStr">
        <is>
          <t>Base Monthly Revenue</t>
        </is>
      </c>
      <c r="B7" s="7" t="n">
        <v>100000</v>
      </c>
      <c r="C7" s="6" t="inlineStr">
        <is>
          <t>$</t>
        </is>
      </c>
      <c r="D7" s="6" t="inlineStr">
        <is>
          <t>Starting monthly revenue</t>
        </is>
      </c>
    </row>
    <row r="8">
      <c r="A8" s="4" t="inlineStr">
        <is>
          <t>MoM Growth Rate</t>
        </is>
      </c>
      <c r="B8" s="8" t="n">
        <v>0.08</v>
      </c>
      <c r="C8" s="6" t="inlineStr">
        <is>
          <t>%</t>
        </is>
      </c>
      <c r="D8" s="6" t="inlineStr">
        <is>
          <t>Month-over-month growth</t>
        </is>
      </c>
    </row>
    <row r="9">
      <c r="A9" s="4" t="inlineStr">
        <is>
          <t>Fixed Costs</t>
        </is>
      </c>
      <c r="B9" s="7" t="n">
        <v>25000</v>
      </c>
      <c r="C9" s="6" t="inlineStr">
        <is>
          <t>$/month</t>
        </is>
      </c>
      <c r="D9" s="6" t="inlineStr">
        <is>
          <t>Infrastructure + overhead</t>
        </is>
      </c>
    </row>
    <row r="10">
      <c r="A10" s="4" t="inlineStr">
        <is>
          <t>Startup Investment</t>
        </is>
      </c>
      <c r="B10" s="7" t="n">
        <v>150000</v>
      </c>
      <c r="C10" s="6" t="inlineStr">
        <is>
          <t>$</t>
        </is>
      </c>
      <c r="D10" s="6" t="inlineStr">
        <is>
          <t>Initial capital</t>
        </is>
      </c>
    </row>
    <row r="11">
      <c r="A11" s="4" t="inlineStr">
        <is>
          <t>Agent Growth Rate (Y2+)</t>
        </is>
      </c>
      <c r="B11" s="8" t="n">
        <v>0.15</v>
      </c>
      <c r="C11" s="6" t="inlineStr">
        <is>
          <t>%/yr</t>
        </is>
      </c>
      <c r="D11" s="6" t="inlineStr">
        <is>
          <t>Annual agent capacity growth</t>
        </is>
      </c>
    </row>
    <row r="12">
      <c r="A12" s="4" t="inlineStr">
        <is>
          <t>Revenue per Agent</t>
        </is>
      </c>
      <c r="B12" s="7">
        <f>B7/B5</f>
        <v/>
      </c>
      <c r="C12" s="6" t="inlineStr">
        <is>
          <t>$/mo</t>
        </is>
      </c>
      <c r="D12" s="6">
        <f>B7/B5</f>
        <v/>
      </c>
    </row>
    <row r="13">
      <c r="A13" s="4" t="inlineStr">
        <is>
          <t>Total Annual Agent Cost</t>
        </is>
      </c>
      <c r="B13" s="7">
        <f>B5*B6*12</f>
        <v/>
      </c>
      <c r="C13" s="6" t="inlineStr">
        <is>
          <t>$</t>
        </is>
      </c>
      <c r="D13" s="6">
        <f>B5*B6*12</f>
        <v/>
      </c>
    </row>
    <row r="14">
      <c r="A14" s="4" t="inlineStr">
        <is>
          <t>5-Year Gross Revenue</t>
        </is>
      </c>
      <c r="B14" s="7">
        <f>B7*12*((1-(1+B8)^60)/(1-(1+B8)))</f>
        <v/>
      </c>
      <c r="C14" s="6" t="inlineStr">
        <is>
          <t>$</t>
        </is>
      </c>
      <c r="D14" s="6">
        <f>B7*12*((1-(1+B8)^60)/(1-(1+B8)))</f>
        <v/>
      </c>
    </row>
    <row r="15">
      <c r="A15" s="4" t="inlineStr">
        <is>
          <t>5-Year ROI</t>
        </is>
      </c>
      <c r="B15" s="8">
        <f>(B14-B10-B9*5)/B10</f>
        <v/>
      </c>
      <c r="C15" s="6" t="inlineStr">
        <is>
          <t>%</t>
        </is>
      </c>
      <c r="D15" s="6">
        <f>(B14-B10-B9*5)/B10</f>
        <v/>
      </c>
    </row>
    <row r="18">
      <c r="A18" s="9" t="inlineStr">
        <is>
          <t>MARKET POSITIONING</t>
        </is>
      </c>
    </row>
    <row r="19">
      <c r="A19" s="3" t="inlineStr">
        <is>
          <t>Segment</t>
        </is>
      </c>
      <c r="B19" s="3" t="inlineStr">
        <is>
          <t>Share %</t>
        </is>
      </c>
      <c r="C19" s="3" t="inlineStr">
        <is>
          <t>Notes</t>
        </is>
      </c>
    </row>
    <row r="20">
      <c r="A20" s="4" t="inlineStr">
        <is>
          <t>Delegate AI</t>
        </is>
      </c>
      <c r="B20" s="10" t="n">
        <v>15</v>
      </c>
      <c r="C20" s="6" t="inlineStr">
        <is>
          <t>Target</t>
        </is>
      </c>
    </row>
    <row r="21">
      <c r="A21" s="4" t="inlineStr">
        <is>
          <t>Enterprise</t>
        </is>
      </c>
      <c r="B21" s="10" t="n">
        <v>35</v>
      </c>
      <c r="C21" s="6" t="inlineStr">
        <is>
          <t>Legacy</t>
        </is>
      </c>
    </row>
    <row r="22">
      <c r="A22" s="4" t="inlineStr">
        <is>
          <t>Mid-Market</t>
        </is>
      </c>
      <c r="B22" s="10" t="n">
        <v>25</v>
      </c>
      <c r="C22" s="6" t="inlineStr">
        <is>
          <t>Growing</t>
        </is>
      </c>
    </row>
    <row r="23">
      <c r="A23" s="4" t="inlineStr">
        <is>
          <t>Startups</t>
        </is>
      </c>
      <c r="B23" s="10" t="n">
        <v>15</v>
      </c>
      <c r="C23" s="6" t="inlineStr">
        <is>
          <t>New</t>
        </is>
      </c>
    </row>
    <row r="24">
      <c r="A24" s="4" t="inlineStr">
        <is>
          <t>Unaddressed</t>
        </is>
      </c>
      <c r="B24" s="10" t="n">
        <v>10</v>
      </c>
      <c r="C24" s="6" t="inlineStr">
        <is>
          <t>Greenfield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3" t="inlineStr">
        <is>
          <t>Month</t>
        </is>
      </c>
      <c r="B1" s="3" t="inlineStr">
        <is>
          <t>Year</t>
        </is>
      </c>
      <c r="C1" s="3" t="inlineStr">
        <is>
          <t>Growth Factor</t>
        </is>
      </c>
      <c r="D1" s="3" t="inlineStr">
        <is>
          <t>Revenue</t>
        </is>
      </c>
      <c r="E1" s="3" t="inlineStr">
        <is>
          <t>Agent Costs</t>
        </is>
      </c>
      <c r="F1" s="3" t="inlineStr">
        <is>
          <t>Fixed Costs</t>
        </is>
      </c>
      <c r="G1" s="3" t="inlineStr">
        <is>
          <t>Gross Profit</t>
        </is>
      </c>
      <c r="H1" s="3" t="inlineStr">
        <is>
          <t>Net Profit</t>
        </is>
      </c>
      <c r="I1" s="3" t="inlineStr">
        <is>
          <t>Margin %</t>
        </is>
      </c>
      <c r="J1" s="3" t="inlineStr">
        <is>
          <t>Cumulative Profit</t>
        </is>
      </c>
      <c r="K1" s="3" t="inlineStr">
        <is>
          <t>Break-Even?</t>
        </is>
      </c>
    </row>
    <row r="2">
      <c r="A2" s="11" t="n">
        <v>1</v>
      </c>
      <c r="B2" s="11" t="n">
        <v>1</v>
      </c>
      <c r="C2" s="12">
        <f>(1+'Inputs &amp; Assumptions'!B8)^(A2-1)</f>
        <v/>
      </c>
      <c r="D2" s="13">
        <f>'Inputs &amp; Assumptions'!B7*C2</f>
        <v/>
      </c>
      <c r="E2" s="13">
        <f>'Inputs &amp; Assumptions'!B5*'Inputs &amp; Assumptions'!B6</f>
        <v/>
      </c>
      <c r="F2" s="13">
        <f>'Inputs &amp; Assumptions'!B9</f>
        <v/>
      </c>
      <c r="G2" s="13">
        <f>D2-E2</f>
        <v/>
      </c>
      <c r="H2" s="13">
        <f>G2-F2</f>
        <v/>
      </c>
      <c r="I2" s="14">
        <f>IF(D2&gt;0,H2/D2,0)</f>
        <v/>
      </c>
      <c r="J2" s="13">
        <f>H2-'Inputs &amp; Assumptions'!B10</f>
        <v/>
      </c>
      <c r="K2" s="11">
        <f>IF(J2&gt;=0,"BREAK-EVEN","Pre-Profit")</f>
        <v/>
      </c>
    </row>
    <row r="3">
      <c r="A3" s="11" t="n">
        <v>2</v>
      </c>
      <c r="B3" s="11" t="n">
        <v>1</v>
      </c>
      <c r="C3" s="12">
        <f>(1+'Inputs &amp; Assumptions'!B8)^(A3-1)</f>
        <v/>
      </c>
      <c r="D3" s="13">
        <f>'Inputs &amp; Assumptions'!B7*C3</f>
        <v/>
      </c>
      <c r="E3" s="13">
        <f>'Inputs &amp; Assumptions'!B5*'Inputs &amp; Assumptions'!B6</f>
        <v/>
      </c>
      <c r="F3" s="13">
        <f>'Inputs &amp; Assumptions'!B9</f>
        <v/>
      </c>
      <c r="G3" s="13">
        <f>D3-E3</f>
        <v/>
      </c>
      <c r="H3" s="13">
        <f>G3-F3</f>
        <v/>
      </c>
      <c r="I3" s="14">
        <f>IF(D3&gt;0,H3/D3,0)</f>
        <v/>
      </c>
      <c r="J3" s="13">
        <f>J2+H3</f>
        <v/>
      </c>
      <c r="K3" s="11">
        <f>IF(AND(J3&gt;=0,J2&lt;0),"BREAK-EVEN",IF(J3&gt;=0,"Profitable","Pre-Profit"))</f>
        <v/>
      </c>
    </row>
    <row r="4">
      <c r="A4" s="11" t="n">
        <v>3</v>
      </c>
      <c r="B4" s="11" t="n">
        <v>1</v>
      </c>
      <c r="C4" s="12">
        <f>(1+'Inputs &amp; Assumptions'!B8)^(A4-1)</f>
        <v/>
      </c>
      <c r="D4" s="13">
        <f>'Inputs &amp; Assumptions'!B7*C4</f>
        <v/>
      </c>
      <c r="E4" s="13">
        <f>'Inputs &amp; Assumptions'!B5*'Inputs &amp; Assumptions'!B6</f>
        <v/>
      </c>
      <c r="F4" s="13">
        <f>'Inputs &amp; Assumptions'!B9</f>
        <v/>
      </c>
      <c r="G4" s="13">
        <f>D4-E4</f>
        <v/>
      </c>
      <c r="H4" s="13">
        <f>G4-F4</f>
        <v/>
      </c>
      <c r="I4" s="14">
        <f>IF(D4&gt;0,H4/D4,0)</f>
        <v/>
      </c>
      <c r="J4" s="13">
        <f>J3+H4</f>
        <v/>
      </c>
      <c r="K4" s="11">
        <f>IF(AND(J4&gt;=0,J3&lt;0),"BREAK-EVEN",IF(J4&gt;=0,"Profitable","Pre-Profit"))</f>
        <v/>
      </c>
    </row>
    <row r="5">
      <c r="A5" s="11" t="n">
        <v>4</v>
      </c>
      <c r="B5" s="11" t="n">
        <v>1</v>
      </c>
      <c r="C5" s="12">
        <f>(1+'Inputs &amp; Assumptions'!B8)^(A5-1)</f>
        <v/>
      </c>
      <c r="D5" s="13">
        <f>'Inputs &amp; Assumptions'!B7*C5</f>
        <v/>
      </c>
      <c r="E5" s="13">
        <f>'Inputs &amp; Assumptions'!B5*'Inputs &amp; Assumptions'!B6</f>
        <v/>
      </c>
      <c r="F5" s="13">
        <f>'Inputs &amp; Assumptions'!B9</f>
        <v/>
      </c>
      <c r="G5" s="13">
        <f>D5-E5</f>
        <v/>
      </c>
      <c r="H5" s="13">
        <f>G5-F5</f>
        <v/>
      </c>
      <c r="I5" s="14">
        <f>IF(D5&gt;0,H5/D5,0)</f>
        <v/>
      </c>
      <c r="J5" s="13">
        <f>J4+H5</f>
        <v/>
      </c>
      <c r="K5" s="11">
        <f>IF(AND(J5&gt;=0,J4&lt;0),"BREAK-EVEN",IF(J5&gt;=0,"Profitable","Pre-Profit"))</f>
        <v/>
      </c>
    </row>
    <row r="6">
      <c r="A6" s="11" t="n">
        <v>5</v>
      </c>
      <c r="B6" s="11" t="n">
        <v>1</v>
      </c>
      <c r="C6" s="12">
        <f>(1+'Inputs &amp; Assumptions'!B8)^(A6-1)</f>
        <v/>
      </c>
      <c r="D6" s="13">
        <f>'Inputs &amp; Assumptions'!B7*C6</f>
        <v/>
      </c>
      <c r="E6" s="13">
        <f>'Inputs &amp; Assumptions'!B5*'Inputs &amp; Assumptions'!B6</f>
        <v/>
      </c>
      <c r="F6" s="13">
        <f>'Inputs &amp; Assumptions'!B9</f>
        <v/>
      </c>
      <c r="G6" s="13">
        <f>D6-E6</f>
        <v/>
      </c>
      <c r="H6" s="13">
        <f>G6-F6</f>
        <v/>
      </c>
      <c r="I6" s="14">
        <f>IF(D6&gt;0,H6/D6,0)</f>
        <v/>
      </c>
      <c r="J6" s="13">
        <f>J5+H6</f>
        <v/>
      </c>
      <c r="K6" s="11">
        <f>IF(AND(J6&gt;=0,J5&lt;0),"BREAK-EVEN",IF(J6&gt;=0,"Profitable","Pre-Profit"))</f>
        <v/>
      </c>
    </row>
    <row r="7">
      <c r="A7" s="11" t="n">
        <v>6</v>
      </c>
      <c r="B7" s="11" t="n">
        <v>1</v>
      </c>
      <c r="C7" s="12">
        <f>(1+'Inputs &amp; Assumptions'!B8)^(A7-1)</f>
        <v/>
      </c>
      <c r="D7" s="13">
        <f>'Inputs &amp; Assumptions'!B7*C7</f>
        <v/>
      </c>
      <c r="E7" s="13">
        <f>'Inputs &amp; Assumptions'!B5*'Inputs &amp; Assumptions'!B6</f>
        <v/>
      </c>
      <c r="F7" s="13">
        <f>'Inputs &amp; Assumptions'!B9</f>
        <v/>
      </c>
      <c r="G7" s="13">
        <f>D7-E7</f>
        <v/>
      </c>
      <c r="H7" s="13">
        <f>G7-F7</f>
        <v/>
      </c>
      <c r="I7" s="14">
        <f>IF(D7&gt;0,H7/D7,0)</f>
        <v/>
      </c>
      <c r="J7" s="13">
        <f>J6+H7</f>
        <v/>
      </c>
      <c r="K7" s="11">
        <f>IF(AND(J7&gt;=0,J6&lt;0),"BREAK-EVEN",IF(J7&gt;=0,"Profitable","Pre-Profit"))</f>
        <v/>
      </c>
    </row>
    <row r="8">
      <c r="A8" s="11" t="n">
        <v>7</v>
      </c>
      <c r="B8" s="11" t="n">
        <v>1</v>
      </c>
      <c r="C8" s="12">
        <f>(1+'Inputs &amp; Assumptions'!B8)^(A8-1)</f>
        <v/>
      </c>
      <c r="D8" s="13">
        <f>'Inputs &amp; Assumptions'!B7*C8</f>
        <v/>
      </c>
      <c r="E8" s="13">
        <f>'Inputs &amp; Assumptions'!B5*'Inputs &amp; Assumptions'!B6</f>
        <v/>
      </c>
      <c r="F8" s="13">
        <f>'Inputs &amp; Assumptions'!B9</f>
        <v/>
      </c>
      <c r="G8" s="13">
        <f>D8-E8</f>
        <v/>
      </c>
      <c r="H8" s="13">
        <f>G8-F8</f>
        <v/>
      </c>
      <c r="I8" s="14">
        <f>IF(D8&gt;0,H8/D8,0)</f>
        <v/>
      </c>
      <c r="J8" s="13">
        <f>J7+H8</f>
        <v/>
      </c>
      <c r="K8" s="11">
        <f>IF(AND(J8&gt;=0,J7&lt;0),"BREAK-EVEN",IF(J8&gt;=0,"Profitable","Pre-Profit"))</f>
        <v/>
      </c>
    </row>
    <row r="9">
      <c r="A9" s="11" t="n">
        <v>8</v>
      </c>
      <c r="B9" s="11" t="n">
        <v>1</v>
      </c>
      <c r="C9" s="12">
        <f>(1+'Inputs &amp; Assumptions'!B8)^(A9-1)</f>
        <v/>
      </c>
      <c r="D9" s="13">
        <f>'Inputs &amp; Assumptions'!B7*C9</f>
        <v/>
      </c>
      <c r="E9" s="13">
        <f>'Inputs &amp; Assumptions'!B5*'Inputs &amp; Assumptions'!B6</f>
        <v/>
      </c>
      <c r="F9" s="13">
        <f>'Inputs &amp; Assumptions'!B9</f>
        <v/>
      </c>
      <c r="G9" s="13">
        <f>D9-E9</f>
        <v/>
      </c>
      <c r="H9" s="13">
        <f>G9-F9</f>
        <v/>
      </c>
      <c r="I9" s="14">
        <f>IF(D9&gt;0,H9/D9,0)</f>
        <v/>
      </c>
      <c r="J9" s="13">
        <f>J8+H9</f>
        <v/>
      </c>
      <c r="K9" s="11">
        <f>IF(AND(J9&gt;=0,J8&lt;0),"BREAK-EVEN",IF(J9&gt;=0,"Profitable","Pre-Profit"))</f>
        <v/>
      </c>
    </row>
    <row r="10">
      <c r="A10" s="11" t="n">
        <v>9</v>
      </c>
      <c r="B10" s="11" t="n">
        <v>1</v>
      </c>
      <c r="C10" s="12">
        <f>(1+'Inputs &amp; Assumptions'!B8)^(A10-1)</f>
        <v/>
      </c>
      <c r="D10" s="13">
        <f>'Inputs &amp; Assumptions'!B7*C10</f>
        <v/>
      </c>
      <c r="E10" s="13">
        <f>'Inputs &amp; Assumptions'!B5*'Inputs &amp; Assumptions'!B6</f>
        <v/>
      </c>
      <c r="F10" s="13">
        <f>'Inputs &amp; Assumptions'!B9</f>
        <v/>
      </c>
      <c r="G10" s="13">
        <f>D10-E10</f>
        <v/>
      </c>
      <c r="H10" s="13">
        <f>G10-F10</f>
        <v/>
      </c>
      <c r="I10" s="14">
        <f>IF(D10&gt;0,H10/D10,0)</f>
        <v/>
      </c>
      <c r="J10" s="13">
        <f>J9+H10</f>
        <v/>
      </c>
      <c r="K10" s="11">
        <f>IF(AND(J10&gt;=0,J9&lt;0),"BREAK-EVEN",IF(J10&gt;=0,"Profitable","Pre-Profit"))</f>
        <v/>
      </c>
    </row>
    <row r="11">
      <c r="A11" s="11" t="n">
        <v>10</v>
      </c>
      <c r="B11" s="11" t="n">
        <v>1</v>
      </c>
      <c r="C11" s="12">
        <f>(1+'Inputs &amp; Assumptions'!B8)^(A11-1)</f>
        <v/>
      </c>
      <c r="D11" s="13">
        <f>'Inputs &amp; Assumptions'!B7*C11</f>
        <v/>
      </c>
      <c r="E11" s="13">
        <f>'Inputs &amp; Assumptions'!B5*'Inputs &amp; Assumptions'!B6</f>
        <v/>
      </c>
      <c r="F11" s="13">
        <f>'Inputs &amp; Assumptions'!B9</f>
        <v/>
      </c>
      <c r="G11" s="13">
        <f>D11-E11</f>
        <v/>
      </c>
      <c r="H11" s="13">
        <f>G11-F11</f>
        <v/>
      </c>
      <c r="I11" s="14">
        <f>IF(D11&gt;0,H11/D11,0)</f>
        <v/>
      </c>
      <c r="J11" s="13">
        <f>J10+H11</f>
        <v/>
      </c>
      <c r="K11" s="11">
        <f>IF(AND(J11&gt;=0,J10&lt;0),"BREAK-EVEN",IF(J11&gt;=0,"Profitable","Pre-Profit"))</f>
        <v/>
      </c>
    </row>
    <row r="12">
      <c r="A12" s="11" t="n">
        <v>11</v>
      </c>
      <c r="B12" s="11" t="n">
        <v>1</v>
      </c>
      <c r="C12" s="12">
        <f>(1+'Inputs &amp; Assumptions'!B8)^(A12-1)</f>
        <v/>
      </c>
      <c r="D12" s="13">
        <f>'Inputs &amp; Assumptions'!B7*C12</f>
        <v/>
      </c>
      <c r="E12" s="13">
        <f>'Inputs &amp; Assumptions'!B5*'Inputs &amp; Assumptions'!B6</f>
        <v/>
      </c>
      <c r="F12" s="13">
        <f>'Inputs &amp; Assumptions'!B9</f>
        <v/>
      </c>
      <c r="G12" s="13">
        <f>D12-E12</f>
        <v/>
      </c>
      <c r="H12" s="13">
        <f>G12-F12</f>
        <v/>
      </c>
      <c r="I12" s="14">
        <f>IF(D12&gt;0,H12/D12,0)</f>
        <v/>
      </c>
      <c r="J12" s="13">
        <f>J11+H12</f>
        <v/>
      </c>
      <c r="K12" s="11">
        <f>IF(AND(J12&gt;=0,J11&lt;0),"BREAK-EVEN",IF(J12&gt;=0,"Profitable","Pre-Profit"))</f>
        <v/>
      </c>
    </row>
    <row r="13">
      <c r="A13" s="11" t="n">
        <v>12</v>
      </c>
      <c r="B13" s="11" t="n">
        <v>1</v>
      </c>
      <c r="C13" s="12">
        <f>(1+'Inputs &amp; Assumptions'!B8)^(A13-1)</f>
        <v/>
      </c>
      <c r="D13" s="13">
        <f>'Inputs &amp; Assumptions'!B7*C13</f>
        <v/>
      </c>
      <c r="E13" s="13">
        <f>'Inputs &amp; Assumptions'!B5*'Inputs &amp; Assumptions'!B6</f>
        <v/>
      </c>
      <c r="F13" s="13">
        <f>'Inputs &amp; Assumptions'!B9</f>
        <v/>
      </c>
      <c r="G13" s="13">
        <f>D13-E13</f>
        <v/>
      </c>
      <c r="H13" s="13">
        <f>G13-F13</f>
        <v/>
      </c>
      <c r="I13" s="14">
        <f>IF(D13&gt;0,H13/D13,0)</f>
        <v/>
      </c>
      <c r="J13" s="13">
        <f>J12+H13</f>
        <v/>
      </c>
      <c r="K13" s="11">
        <f>IF(AND(J13&gt;=0,J12&lt;0),"BREAK-EVEN",IF(J13&gt;=0,"Profitable","Pre-Profit"))</f>
        <v/>
      </c>
    </row>
    <row r="14">
      <c r="A14" s="11" t="n">
        <v>13</v>
      </c>
      <c r="B14" s="11" t="n">
        <v>2</v>
      </c>
      <c r="C14" s="12">
        <f>(1+'Inputs &amp; Assumptions'!B8)^(A14-1)</f>
        <v/>
      </c>
      <c r="D14" s="13">
        <f>'Inputs &amp; Assumptions'!B7*C14</f>
        <v/>
      </c>
      <c r="E14" s="13">
        <f>'Inputs &amp; Assumptions'!B5*'Inputs &amp; Assumptions'!B6</f>
        <v/>
      </c>
      <c r="F14" s="13">
        <f>'Inputs &amp; Assumptions'!B9</f>
        <v/>
      </c>
      <c r="G14" s="13">
        <f>D14-E14</f>
        <v/>
      </c>
      <c r="H14" s="13">
        <f>G14-F14</f>
        <v/>
      </c>
      <c r="I14" s="14">
        <f>IF(D14&gt;0,H14/D14,0)</f>
        <v/>
      </c>
      <c r="J14" s="13">
        <f>J13+H14</f>
        <v/>
      </c>
      <c r="K14" s="11">
        <f>IF(AND(J14&gt;=0,J13&lt;0),"BREAK-EVEN",IF(J14&gt;=0,"Profitable","Pre-Profit"))</f>
        <v/>
      </c>
    </row>
    <row r="15">
      <c r="A15" s="11" t="n">
        <v>14</v>
      </c>
      <c r="B15" s="11" t="n">
        <v>2</v>
      </c>
      <c r="C15" s="12">
        <f>(1+'Inputs &amp; Assumptions'!B8)^(A15-1)</f>
        <v/>
      </c>
      <c r="D15" s="13">
        <f>'Inputs &amp; Assumptions'!B7*C15</f>
        <v/>
      </c>
      <c r="E15" s="13">
        <f>'Inputs &amp; Assumptions'!B5*'Inputs &amp; Assumptions'!B6</f>
        <v/>
      </c>
      <c r="F15" s="13">
        <f>'Inputs &amp; Assumptions'!B9</f>
        <v/>
      </c>
      <c r="G15" s="13">
        <f>D15-E15</f>
        <v/>
      </c>
      <c r="H15" s="13">
        <f>G15-F15</f>
        <v/>
      </c>
      <c r="I15" s="14">
        <f>IF(D15&gt;0,H15/D15,0)</f>
        <v/>
      </c>
      <c r="J15" s="13">
        <f>J14+H15</f>
        <v/>
      </c>
      <c r="K15" s="11">
        <f>IF(AND(J15&gt;=0,J14&lt;0),"BREAK-EVEN",IF(J15&gt;=0,"Profitable","Pre-Profit"))</f>
        <v/>
      </c>
    </row>
    <row r="16">
      <c r="A16" s="11" t="n">
        <v>15</v>
      </c>
      <c r="B16" s="11" t="n">
        <v>2</v>
      </c>
      <c r="C16" s="12">
        <f>(1+'Inputs &amp; Assumptions'!B8)^(A16-1)</f>
        <v/>
      </c>
      <c r="D16" s="13">
        <f>'Inputs &amp; Assumptions'!B7*C16</f>
        <v/>
      </c>
      <c r="E16" s="13">
        <f>'Inputs &amp; Assumptions'!B5*'Inputs &amp; Assumptions'!B6</f>
        <v/>
      </c>
      <c r="F16" s="13">
        <f>'Inputs &amp; Assumptions'!B9</f>
        <v/>
      </c>
      <c r="G16" s="13">
        <f>D16-E16</f>
        <v/>
      </c>
      <c r="H16" s="13">
        <f>G16-F16</f>
        <v/>
      </c>
      <c r="I16" s="14">
        <f>IF(D16&gt;0,H16/D16,0)</f>
        <v/>
      </c>
      <c r="J16" s="13">
        <f>J15+H16</f>
        <v/>
      </c>
      <c r="K16" s="11">
        <f>IF(AND(J16&gt;=0,J15&lt;0),"BREAK-EVEN",IF(J16&gt;=0,"Profitable","Pre-Profit"))</f>
        <v/>
      </c>
    </row>
    <row r="17">
      <c r="A17" s="11" t="n">
        <v>16</v>
      </c>
      <c r="B17" s="11" t="n">
        <v>2</v>
      </c>
      <c r="C17" s="12">
        <f>(1+'Inputs &amp; Assumptions'!B8)^(A17-1)</f>
        <v/>
      </c>
      <c r="D17" s="13">
        <f>'Inputs &amp; Assumptions'!B7*C17</f>
        <v/>
      </c>
      <c r="E17" s="13">
        <f>'Inputs &amp; Assumptions'!B5*'Inputs &amp; Assumptions'!B6</f>
        <v/>
      </c>
      <c r="F17" s="13">
        <f>'Inputs &amp; Assumptions'!B9</f>
        <v/>
      </c>
      <c r="G17" s="13">
        <f>D17-E17</f>
        <v/>
      </c>
      <c r="H17" s="13">
        <f>G17-F17</f>
        <v/>
      </c>
      <c r="I17" s="14">
        <f>IF(D17&gt;0,H17/D17,0)</f>
        <v/>
      </c>
      <c r="J17" s="13">
        <f>J16+H17</f>
        <v/>
      </c>
      <c r="K17" s="11">
        <f>IF(AND(J17&gt;=0,J16&lt;0),"BREAK-EVEN",IF(J17&gt;=0,"Profitable","Pre-Profit"))</f>
        <v/>
      </c>
    </row>
    <row r="18">
      <c r="A18" s="11" t="n">
        <v>17</v>
      </c>
      <c r="B18" s="11" t="n">
        <v>2</v>
      </c>
      <c r="C18" s="12">
        <f>(1+'Inputs &amp; Assumptions'!B8)^(A18-1)</f>
        <v/>
      </c>
      <c r="D18" s="13">
        <f>'Inputs &amp; Assumptions'!B7*C18</f>
        <v/>
      </c>
      <c r="E18" s="13">
        <f>'Inputs &amp; Assumptions'!B5*'Inputs &amp; Assumptions'!B6</f>
        <v/>
      </c>
      <c r="F18" s="13">
        <f>'Inputs &amp; Assumptions'!B9</f>
        <v/>
      </c>
      <c r="G18" s="13">
        <f>D18-E18</f>
        <v/>
      </c>
      <c r="H18" s="13">
        <f>G18-F18</f>
        <v/>
      </c>
      <c r="I18" s="14">
        <f>IF(D18&gt;0,H18/D18,0)</f>
        <v/>
      </c>
      <c r="J18" s="13">
        <f>J17+H18</f>
        <v/>
      </c>
      <c r="K18" s="11">
        <f>IF(AND(J18&gt;=0,J17&lt;0),"BREAK-EVEN",IF(J18&gt;=0,"Profitable","Pre-Profit"))</f>
        <v/>
      </c>
    </row>
    <row r="19">
      <c r="A19" s="11" t="n">
        <v>18</v>
      </c>
      <c r="B19" s="11" t="n">
        <v>2</v>
      </c>
      <c r="C19" s="12">
        <f>(1+'Inputs &amp; Assumptions'!B8)^(A19-1)</f>
        <v/>
      </c>
      <c r="D19" s="13">
        <f>'Inputs &amp; Assumptions'!B7*C19</f>
        <v/>
      </c>
      <c r="E19" s="13">
        <f>'Inputs &amp; Assumptions'!B5*'Inputs &amp; Assumptions'!B6</f>
        <v/>
      </c>
      <c r="F19" s="13">
        <f>'Inputs &amp; Assumptions'!B9</f>
        <v/>
      </c>
      <c r="G19" s="13">
        <f>D19-E19</f>
        <v/>
      </c>
      <c r="H19" s="13">
        <f>G19-F19</f>
        <v/>
      </c>
      <c r="I19" s="14">
        <f>IF(D19&gt;0,H19/D19,0)</f>
        <v/>
      </c>
      <c r="J19" s="13">
        <f>J18+H19</f>
        <v/>
      </c>
      <c r="K19" s="11">
        <f>IF(AND(J19&gt;=0,J18&lt;0),"BREAK-EVEN",IF(J19&gt;=0,"Profitable","Pre-Profit"))</f>
        <v/>
      </c>
    </row>
    <row r="20">
      <c r="A20" s="11" t="n">
        <v>19</v>
      </c>
      <c r="B20" s="11" t="n">
        <v>2</v>
      </c>
      <c r="C20" s="12">
        <f>(1+'Inputs &amp; Assumptions'!B8)^(A20-1)</f>
        <v/>
      </c>
      <c r="D20" s="13">
        <f>'Inputs &amp; Assumptions'!B7*C20</f>
        <v/>
      </c>
      <c r="E20" s="13">
        <f>'Inputs &amp; Assumptions'!B5*'Inputs &amp; Assumptions'!B6</f>
        <v/>
      </c>
      <c r="F20" s="13">
        <f>'Inputs &amp; Assumptions'!B9</f>
        <v/>
      </c>
      <c r="G20" s="13">
        <f>D20-E20</f>
        <v/>
      </c>
      <c r="H20" s="13">
        <f>G20-F20</f>
        <v/>
      </c>
      <c r="I20" s="14">
        <f>IF(D20&gt;0,H20/D20,0)</f>
        <v/>
      </c>
      <c r="J20" s="13">
        <f>J19+H20</f>
        <v/>
      </c>
      <c r="K20" s="11">
        <f>IF(AND(J20&gt;=0,J19&lt;0),"BREAK-EVEN",IF(J20&gt;=0,"Profitable","Pre-Profit"))</f>
        <v/>
      </c>
    </row>
    <row r="21">
      <c r="A21" s="11" t="n">
        <v>20</v>
      </c>
      <c r="B21" s="11" t="n">
        <v>2</v>
      </c>
      <c r="C21" s="12">
        <f>(1+'Inputs &amp; Assumptions'!B8)^(A21-1)</f>
        <v/>
      </c>
      <c r="D21" s="13">
        <f>'Inputs &amp; Assumptions'!B7*C21</f>
        <v/>
      </c>
      <c r="E21" s="13">
        <f>'Inputs &amp; Assumptions'!B5*'Inputs &amp; Assumptions'!B6</f>
        <v/>
      </c>
      <c r="F21" s="13">
        <f>'Inputs &amp; Assumptions'!B9</f>
        <v/>
      </c>
      <c r="G21" s="13">
        <f>D21-E21</f>
        <v/>
      </c>
      <c r="H21" s="13">
        <f>G21-F21</f>
        <v/>
      </c>
      <c r="I21" s="14">
        <f>IF(D21&gt;0,H21/D21,0)</f>
        <v/>
      </c>
      <c r="J21" s="13">
        <f>J20+H21</f>
        <v/>
      </c>
      <c r="K21" s="11">
        <f>IF(AND(J21&gt;=0,J20&lt;0),"BREAK-EVEN",IF(J21&gt;=0,"Profitable","Pre-Profit"))</f>
        <v/>
      </c>
    </row>
    <row r="22">
      <c r="A22" s="11" t="n">
        <v>21</v>
      </c>
      <c r="B22" s="11" t="n">
        <v>2</v>
      </c>
      <c r="C22" s="12">
        <f>(1+'Inputs &amp; Assumptions'!B8)^(A22-1)</f>
        <v/>
      </c>
      <c r="D22" s="13">
        <f>'Inputs &amp; Assumptions'!B7*C22</f>
        <v/>
      </c>
      <c r="E22" s="13">
        <f>'Inputs &amp; Assumptions'!B5*'Inputs &amp; Assumptions'!B6</f>
        <v/>
      </c>
      <c r="F22" s="13">
        <f>'Inputs &amp; Assumptions'!B9</f>
        <v/>
      </c>
      <c r="G22" s="13">
        <f>D22-E22</f>
        <v/>
      </c>
      <c r="H22" s="13">
        <f>G22-F22</f>
        <v/>
      </c>
      <c r="I22" s="14">
        <f>IF(D22&gt;0,H22/D22,0)</f>
        <v/>
      </c>
      <c r="J22" s="13">
        <f>J21+H22</f>
        <v/>
      </c>
      <c r="K22" s="11">
        <f>IF(AND(J22&gt;=0,J21&lt;0),"BREAK-EVEN",IF(J22&gt;=0,"Profitable","Pre-Profit"))</f>
        <v/>
      </c>
    </row>
    <row r="23">
      <c r="A23" s="11" t="n">
        <v>22</v>
      </c>
      <c r="B23" s="11" t="n">
        <v>2</v>
      </c>
      <c r="C23" s="12">
        <f>(1+'Inputs &amp; Assumptions'!B8)^(A23-1)</f>
        <v/>
      </c>
      <c r="D23" s="13">
        <f>'Inputs &amp; Assumptions'!B7*C23</f>
        <v/>
      </c>
      <c r="E23" s="13">
        <f>'Inputs &amp; Assumptions'!B5*'Inputs &amp; Assumptions'!B6</f>
        <v/>
      </c>
      <c r="F23" s="13">
        <f>'Inputs &amp; Assumptions'!B9</f>
        <v/>
      </c>
      <c r="G23" s="13">
        <f>D23-E23</f>
        <v/>
      </c>
      <c r="H23" s="13">
        <f>G23-F23</f>
        <v/>
      </c>
      <c r="I23" s="14">
        <f>IF(D23&gt;0,H23/D23,0)</f>
        <v/>
      </c>
      <c r="J23" s="13">
        <f>J22+H23</f>
        <v/>
      </c>
      <c r="K23" s="11">
        <f>IF(AND(J23&gt;=0,J22&lt;0),"BREAK-EVEN",IF(J23&gt;=0,"Profitable","Pre-Profit"))</f>
        <v/>
      </c>
    </row>
    <row r="24">
      <c r="A24" s="11" t="n">
        <v>23</v>
      </c>
      <c r="B24" s="11" t="n">
        <v>2</v>
      </c>
      <c r="C24" s="12">
        <f>(1+'Inputs &amp; Assumptions'!B8)^(A24-1)</f>
        <v/>
      </c>
      <c r="D24" s="13">
        <f>'Inputs &amp; Assumptions'!B7*C24</f>
        <v/>
      </c>
      <c r="E24" s="13">
        <f>'Inputs &amp; Assumptions'!B5*'Inputs &amp; Assumptions'!B6</f>
        <v/>
      </c>
      <c r="F24" s="13">
        <f>'Inputs &amp; Assumptions'!B9</f>
        <v/>
      </c>
      <c r="G24" s="13">
        <f>D24-E24</f>
        <v/>
      </c>
      <c r="H24" s="13">
        <f>G24-F24</f>
        <v/>
      </c>
      <c r="I24" s="14">
        <f>IF(D24&gt;0,H24/D24,0)</f>
        <v/>
      </c>
      <c r="J24" s="13">
        <f>J23+H24</f>
        <v/>
      </c>
      <c r="K24" s="11">
        <f>IF(AND(J24&gt;=0,J23&lt;0),"BREAK-EVEN",IF(J24&gt;=0,"Profitable","Pre-Profit"))</f>
        <v/>
      </c>
    </row>
    <row r="25">
      <c r="A25" s="11" t="n">
        <v>24</v>
      </c>
      <c r="B25" s="11" t="n">
        <v>2</v>
      </c>
      <c r="C25" s="12">
        <f>(1+'Inputs &amp; Assumptions'!B8)^(A25-1)</f>
        <v/>
      </c>
      <c r="D25" s="13">
        <f>'Inputs &amp; Assumptions'!B7*C25</f>
        <v/>
      </c>
      <c r="E25" s="13">
        <f>'Inputs &amp; Assumptions'!B5*'Inputs &amp; Assumptions'!B6</f>
        <v/>
      </c>
      <c r="F25" s="13">
        <f>'Inputs &amp; Assumptions'!B9</f>
        <v/>
      </c>
      <c r="G25" s="13">
        <f>D25-E25</f>
        <v/>
      </c>
      <c r="H25" s="13">
        <f>G25-F25</f>
        <v/>
      </c>
      <c r="I25" s="14">
        <f>IF(D25&gt;0,H25/D25,0)</f>
        <v/>
      </c>
      <c r="J25" s="13">
        <f>J24+H25</f>
        <v/>
      </c>
      <c r="K25" s="11">
        <f>IF(AND(J25&gt;=0,J24&lt;0),"BREAK-EVEN",IF(J25&gt;=0,"Profitable","Pre-Profit"))</f>
        <v/>
      </c>
    </row>
    <row r="26">
      <c r="A26" s="11" t="n">
        <v>25</v>
      </c>
      <c r="B26" s="11" t="n">
        <v>3</v>
      </c>
      <c r="C26" s="12">
        <f>(1+'Inputs &amp; Assumptions'!B8)^(A26-1)</f>
        <v/>
      </c>
      <c r="D26" s="13">
        <f>'Inputs &amp; Assumptions'!B7*C26</f>
        <v/>
      </c>
      <c r="E26" s="13">
        <f>'Inputs &amp; Assumptions'!B5*'Inputs &amp; Assumptions'!B6</f>
        <v/>
      </c>
      <c r="F26" s="13">
        <f>'Inputs &amp; Assumptions'!B9</f>
        <v/>
      </c>
      <c r="G26" s="13">
        <f>D26-E26</f>
        <v/>
      </c>
      <c r="H26" s="13">
        <f>G26-F26</f>
        <v/>
      </c>
      <c r="I26" s="14">
        <f>IF(D26&gt;0,H26/D26,0)</f>
        <v/>
      </c>
      <c r="J26" s="13">
        <f>J25+H26</f>
        <v/>
      </c>
      <c r="K26" s="11">
        <f>IF(AND(J26&gt;=0,J25&lt;0),"BREAK-EVEN",IF(J26&gt;=0,"Profitable","Pre-Profit"))</f>
        <v/>
      </c>
    </row>
    <row r="27">
      <c r="A27" s="11" t="n">
        <v>26</v>
      </c>
      <c r="B27" s="11" t="n">
        <v>3</v>
      </c>
      <c r="C27" s="12">
        <f>(1+'Inputs &amp; Assumptions'!B8)^(A27-1)</f>
        <v/>
      </c>
      <c r="D27" s="13">
        <f>'Inputs &amp; Assumptions'!B7*C27</f>
        <v/>
      </c>
      <c r="E27" s="13">
        <f>'Inputs &amp; Assumptions'!B5*'Inputs &amp; Assumptions'!B6</f>
        <v/>
      </c>
      <c r="F27" s="13">
        <f>'Inputs &amp; Assumptions'!B9</f>
        <v/>
      </c>
      <c r="G27" s="13">
        <f>D27-E27</f>
        <v/>
      </c>
      <c r="H27" s="13">
        <f>G27-F27</f>
        <v/>
      </c>
      <c r="I27" s="14">
        <f>IF(D27&gt;0,H27/D27,0)</f>
        <v/>
      </c>
      <c r="J27" s="13">
        <f>J26+H27</f>
        <v/>
      </c>
      <c r="K27" s="11">
        <f>IF(AND(J27&gt;=0,J26&lt;0),"BREAK-EVEN",IF(J27&gt;=0,"Profitable","Pre-Profit"))</f>
        <v/>
      </c>
    </row>
    <row r="28">
      <c r="A28" s="11" t="n">
        <v>27</v>
      </c>
      <c r="B28" s="11" t="n">
        <v>3</v>
      </c>
      <c r="C28" s="12">
        <f>(1+'Inputs &amp; Assumptions'!B8)^(A28-1)</f>
        <v/>
      </c>
      <c r="D28" s="13">
        <f>'Inputs &amp; Assumptions'!B7*C28</f>
        <v/>
      </c>
      <c r="E28" s="13">
        <f>'Inputs &amp; Assumptions'!B5*'Inputs &amp; Assumptions'!B6</f>
        <v/>
      </c>
      <c r="F28" s="13">
        <f>'Inputs &amp; Assumptions'!B9</f>
        <v/>
      </c>
      <c r="G28" s="13">
        <f>D28-E28</f>
        <v/>
      </c>
      <c r="H28" s="13">
        <f>G28-F28</f>
        <v/>
      </c>
      <c r="I28" s="14">
        <f>IF(D28&gt;0,H28/D28,0)</f>
        <v/>
      </c>
      <c r="J28" s="13">
        <f>J27+H28</f>
        <v/>
      </c>
      <c r="K28" s="11">
        <f>IF(AND(J28&gt;=0,J27&lt;0),"BREAK-EVEN",IF(J28&gt;=0,"Profitable","Pre-Profit"))</f>
        <v/>
      </c>
    </row>
    <row r="29">
      <c r="A29" s="11" t="n">
        <v>28</v>
      </c>
      <c r="B29" s="11" t="n">
        <v>3</v>
      </c>
      <c r="C29" s="12">
        <f>(1+'Inputs &amp; Assumptions'!B8)^(A29-1)</f>
        <v/>
      </c>
      <c r="D29" s="13">
        <f>'Inputs &amp; Assumptions'!B7*C29</f>
        <v/>
      </c>
      <c r="E29" s="13">
        <f>'Inputs &amp; Assumptions'!B5*'Inputs &amp; Assumptions'!B6</f>
        <v/>
      </c>
      <c r="F29" s="13">
        <f>'Inputs &amp; Assumptions'!B9</f>
        <v/>
      </c>
      <c r="G29" s="13">
        <f>D29-E29</f>
        <v/>
      </c>
      <c r="H29" s="13">
        <f>G29-F29</f>
        <v/>
      </c>
      <c r="I29" s="14">
        <f>IF(D29&gt;0,H29/D29,0)</f>
        <v/>
      </c>
      <c r="J29" s="13">
        <f>J28+H29</f>
        <v/>
      </c>
      <c r="K29" s="11">
        <f>IF(AND(J29&gt;=0,J28&lt;0),"BREAK-EVEN",IF(J29&gt;=0,"Profitable","Pre-Profit"))</f>
        <v/>
      </c>
    </row>
    <row r="30">
      <c r="A30" s="11" t="n">
        <v>29</v>
      </c>
      <c r="B30" s="11" t="n">
        <v>3</v>
      </c>
      <c r="C30" s="12">
        <f>(1+'Inputs &amp; Assumptions'!B8)^(A30-1)</f>
        <v/>
      </c>
      <c r="D30" s="13">
        <f>'Inputs &amp; Assumptions'!B7*C30</f>
        <v/>
      </c>
      <c r="E30" s="13">
        <f>'Inputs &amp; Assumptions'!B5*'Inputs &amp; Assumptions'!B6</f>
        <v/>
      </c>
      <c r="F30" s="13">
        <f>'Inputs &amp; Assumptions'!B9</f>
        <v/>
      </c>
      <c r="G30" s="13">
        <f>D30-E30</f>
        <v/>
      </c>
      <c r="H30" s="13">
        <f>G30-F30</f>
        <v/>
      </c>
      <c r="I30" s="14">
        <f>IF(D30&gt;0,H30/D30,0)</f>
        <v/>
      </c>
      <c r="J30" s="13">
        <f>J29+H30</f>
        <v/>
      </c>
      <c r="K30" s="11">
        <f>IF(AND(J30&gt;=0,J29&lt;0),"BREAK-EVEN",IF(J30&gt;=0,"Profitable","Pre-Profit"))</f>
        <v/>
      </c>
    </row>
    <row r="31">
      <c r="A31" s="11" t="n">
        <v>30</v>
      </c>
      <c r="B31" s="11" t="n">
        <v>3</v>
      </c>
      <c r="C31" s="12">
        <f>(1+'Inputs &amp; Assumptions'!B8)^(A31-1)</f>
        <v/>
      </c>
      <c r="D31" s="13">
        <f>'Inputs &amp; Assumptions'!B7*C31</f>
        <v/>
      </c>
      <c r="E31" s="13">
        <f>'Inputs &amp; Assumptions'!B5*'Inputs &amp; Assumptions'!B6</f>
        <v/>
      </c>
      <c r="F31" s="13">
        <f>'Inputs &amp; Assumptions'!B9</f>
        <v/>
      </c>
      <c r="G31" s="13">
        <f>D31-E31</f>
        <v/>
      </c>
      <c r="H31" s="13">
        <f>G31-F31</f>
        <v/>
      </c>
      <c r="I31" s="14">
        <f>IF(D31&gt;0,H31/D31,0)</f>
        <v/>
      </c>
      <c r="J31" s="13">
        <f>J30+H31</f>
        <v/>
      </c>
      <c r="K31" s="11">
        <f>IF(AND(J31&gt;=0,J30&lt;0),"BREAK-EVEN",IF(J31&gt;=0,"Profitable","Pre-Profit"))</f>
        <v/>
      </c>
    </row>
    <row r="32">
      <c r="A32" s="11" t="n">
        <v>31</v>
      </c>
      <c r="B32" s="11" t="n">
        <v>3</v>
      </c>
      <c r="C32" s="12">
        <f>(1+'Inputs &amp; Assumptions'!B8)^(A32-1)</f>
        <v/>
      </c>
      <c r="D32" s="13">
        <f>'Inputs &amp; Assumptions'!B7*C32</f>
        <v/>
      </c>
      <c r="E32" s="13">
        <f>'Inputs &amp; Assumptions'!B5*'Inputs &amp; Assumptions'!B6</f>
        <v/>
      </c>
      <c r="F32" s="13">
        <f>'Inputs &amp; Assumptions'!B9</f>
        <v/>
      </c>
      <c r="G32" s="13">
        <f>D32-E32</f>
        <v/>
      </c>
      <c r="H32" s="13">
        <f>G32-F32</f>
        <v/>
      </c>
      <c r="I32" s="14">
        <f>IF(D32&gt;0,H32/D32,0)</f>
        <v/>
      </c>
      <c r="J32" s="13">
        <f>J31+H32</f>
        <v/>
      </c>
      <c r="K32" s="11">
        <f>IF(AND(J32&gt;=0,J31&lt;0),"BREAK-EVEN",IF(J32&gt;=0,"Profitable","Pre-Profit"))</f>
        <v/>
      </c>
    </row>
    <row r="33">
      <c r="A33" s="11" t="n">
        <v>32</v>
      </c>
      <c r="B33" s="11" t="n">
        <v>3</v>
      </c>
      <c r="C33" s="12">
        <f>(1+'Inputs &amp; Assumptions'!B8)^(A33-1)</f>
        <v/>
      </c>
      <c r="D33" s="13">
        <f>'Inputs &amp; Assumptions'!B7*C33</f>
        <v/>
      </c>
      <c r="E33" s="13">
        <f>'Inputs &amp; Assumptions'!B5*'Inputs &amp; Assumptions'!B6</f>
        <v/>
      </c>
      <c r="F33" s="13">
        <f>'Inputs &amp; Assumptions'!B9</f>
        <v/>
      </c>
      <c r="G33" s="13">
        <f>D33-E33</f>
        <v/>
      </c>
      <c r="H33" s="13">
        <f>G33-F33</f>
        <v/>
      </c>
      <c r="I33" s="14">
        <f>IF(D33&gt;0,H33/D33,0)</f>
        <v/>
      </c>
      <c r="J33" s="13">
        <f>J32+H33</f>
        <v/>
      </c>
      <c r="K33" s="11">
        <f>IF(AND(J33&gt;=0,J32&lt;0),"BREAK-EVEN",IF(J33&gt;=0,"Profitable","Pre-Profit"))</f>
        <v/>
      </c>
    </row>
    <row r="34">
      <c r="A34" s="11" t="n">
        <v>33</v>
      </c>
      <c r="B34" s="11" t="n">
        <v>3</v>
      </c>
      <c r="C34" s="12">
        <f>(1+'Inputs &amp; Assumptions'!B8)^(A34-1)</f>
        <v/>
      </c>
      <c r="D34" s="13">
        <f>'Inputs &amp; Assumptions'!B7*C34</f>
        <v/>
      </c>
      <c r="E34" s="13">
        <f>'Inputs &amp; Assumptions'!B5*'Inputs &amp; Assumptions'!B6</f>
        <v/>
      </c>
      <c r="F34" s="13">
        <f>'Inputs &amp; Assumptions'!B9</f>
        <v/>
      </c>
      <c r="G34" s="13">
        <f>D34-E34</f>
        <v/>
      </c>
      <c r="H34" s="13">
        <f>G34-F34</f>
        <v/>
      </c>
      <c r="I34" s="14">
        <f>IF(D34&gt;0,H34/D34,0)</f>
        <v/>
      </c>
      <c r="J34" s="13">
        <f>J33+H34</f>
        <v/>
      </c>
      <c r="K34" s="11">
        <f>IF(AND(J34&gt;=0,J33&lt;0),"BREAK-EVEN",IF(J34&gt;=0,"Profitable","Pre-Profit"))</f>
        <v/>
      </c>
    </row>
    <row r="35">
      <c r="A35" s="11" t="n">
        <v>34</v>
      </c>
      <c r="B35" s="11" t="n">
        <v>3</v>
      </c>
      <c r="C35" s="12">
        <f>(1+'Inputs &amp; Assumptions'!B8)^(A35-1)</f>
        <v/>
      </c>
      <c r="D35" s="13">
        <f>'Inputs &amp; Assumptions'!B7*C35</f>
        <v/>
      </c>
      <c r="E35" s="13">
        <f>'Inputs &amp; Assumptions'!B5*'Inputs &amp; Assumptions'!B6</f>
        <v/>
      </c>
      <c r="F35" s="13">
        <f>'Inputs &amp; Assumptions'!B9</f>
        <v/>
      </c>
      <c r="G35" s="13">
        <f>D35-E35</f>
        <v/>
      </c>
      <c r="H35" s="13">
        <f>G35-F35</f>
        <v/>
      </c>
      <c r="I35" s="14">
        <f>IF(D35&gt;0,H35/D35,0)</f>
        <v/>
      </c>
      <c r="J35" s="13">
        <f>J34+H35</f>
        <v/>
      </c>
      <c r="K35" s="11">
        <f>IF(AND(J35&gt;=0,J34&lt;0),"BREAK-EVEN",IF(J35&gt;=0,"Profitable","Pre-Profit"))</f>
        <v/>
      </c>
    </row>
    <row r="36">
      <c r="A36" s="11" t="n">
        <v>35</v>
      </c>
      <c r="B36" s="11" t="n">
        <v>3</v>
      </c>
      <c r="C36" s="12">
        <f>(1+'Inputs &amp; Assumptions'!B8)^(A36-1)</f>
        <v/>
      </c>
      <c r="D36" s="13">
        <f>'Inputs &amp; Assumptions'!B7*C36</f>
        <v/>
      </c>
      <c r="E36" s="13">
        <f>'Inputs &amp; Assumptions'!B5*'Inputs &amp; Assumptions'!B6</f>
        <v/>
      </c>
      <c r="F36" s="13">
        <f>'Inputs &amp; Assumptions'!B9</f>
        <v/>
      </c>
      <c r="G36" s="13">
        <f>D36-E36</f>
        <v/>
      </c>
      <c r="H36" s="13">
        <f>G36-F36</f>
        <v/>
      </c>
      <c r="I36" s="14">
        <f>IF(D36&gt;0,H36/D36,0)</f>
        <v/>
      </c>
      <c r="J36" s="13">
        <f>J35+H36</f>
        <v/>
      </c>
      <c r="K36" s="11">
        <f>IF(AND(J36&gt;=0,J35&lt;0),"BREAK-EVEN",IF(J36&gt;=0,"Profitable","Pre-Profit"))</f>
        <v/>
      </c>
    </row>
    <row r="37">
      <c r="A37" s="11" t="n">
        <v>36</v>
      </c>
      <c r="B37" s="11" t="n">
        <v>3</v>
      </c>
      <c r="C37" s="12">
        <f>(1+'Inputs &amp; Assumptions'!B8)^(A37-1)</f>
        <v/>
      </c>
      <c r="D37" s="13">
        <f>'Inputs &amp; Assumptions'!B7*C37</f>
        <v/>
      </c>
      <c r="E37" s="13">
        <f>'Inputs &amp; Assumptions'!B5*'Inputs &amp; Assumptions'!B6</f>
        <v/>
      </c>
      <c r="F37" s="13">
        <f>'Inputs &amp; Assumptions'!B9</f>
        <v/>
      </c>
      <c r="G37" s="13">
        <f>D37-E37</f>
        <v/>
      </c>
      <c r="H37" s="13">
        <f>G37-F37</f>
        <v/>
      </c>
      <c r="I37" s="14">
        <f>IF(D37&gt;0,H37/D37,0)</f>
        <v/>
      </c>
      <c r="J37" s="13">
        <f>J36+H37</f>
        <v/>
      </c>
      <c r="K37" s="11">
        <f>IF(AND(J37&gt;=0,J36&lt;0),"BREAK-EVEN",IF(J37&gt;=0,"Profitable","Pre-Profit"))</f>
        <v/>
      </c>
    </row>
    <row r="38">
      <c r="A38" s="11" t="n">
        <v>37</v>
      </c>
      <c r="B38" s="11" t="n">
        <v>4</v>
      </c>
      <c r="C38" s="12">
        <f>(1+'Inputs &amp; Assumptions'!B8)^(A38-1)</f>
        <v/>
      </c>
      <c r="D38" s="13">
        <f>'Inputs &amp; Assumptions'!B7*C38</f>
        <v/>
      </c>
      <c r="E38" s="13">
        <f>'Inputs &amp; Assumptions'!B5*'Inputs &amp; Assumptions'!B6</f>
        <v/>
      </c>
      <c r="F38" s="13">
        <f>'Inputs &amp; Assumptions'!B9</f>
        <v/>
      </c>
      <c r="G38" s="13">
        <f>D38-E38</f>
        <v/>
      </c>
      <c r="H38" s="13">
        <f>G38-F38</f>
        <v/>
      </c>
      <c r="I38" s="14">
        <f>IF(D38&gt;0,H38/D38,0)</f>
        <v/>
      </c>
      <c r="J38" s="13">
        <f>J37+H38</f>
        <v/>
      </c>
      <c r="K38" s="11">
        <f>IF(AND(J38&gt;=0,J37&lt;0),"BREAK-EVEN",IF(J38&gt;=0,"Profitable","Pre-Profit"))</f>
        <v/>
      </c>
    </row>
    <row r="39">
      <c r="A39" s="11" t="n">
        <v>38</v>
      </c>
      <c r="B39" s="11" t="n">
        <v>4</v>
      </c>
      <c r="C39" s="12">
        <f>(1+'Inputs &amp; Assumptions'!B8)^(A39-1)</f>
        <v/>
      </c>
      <c r="D39" s="13">
        <f>'Inputs &amp; Assumptions'!B7*C39</f>
        <v/>
      </c>
      <c r="E39" s="13">
        <f>'Inputs &amp; Assumptions'!B5*'Inputs &amp; Assumptions'!B6</f>
        <v/>
      </c>
      <c r="F39" s="13">
        <f>'Inputs &amp; Assumptions'!B9</f>
        <v/>
      </c>
      <c r="G39" s="13">
        <f>D39-E39</f>
        <v/>
      </c>
      <c r="H39" s="13">
        <f>G39-F39</f>
        <v/>
      </c>
      <c r="I39" s="14">
        <f>IF(D39&gt;0,H39/D39,0)</f>
        <v/>
      </c>
      <c r="J39" s="13">
        <f>J38+H39</f>
        <v/>
      </c>
      <c r="K39" s="11">
        <f>IF(AND(J39&gt;=0,J38&lt;0),"BREAK-EVEN",IF(J39&gt;=0,"Profitable","Pre-Profit"))</f>
        <v/>
      </c>
    </row>
    <row r="40">
      <c r="A40" s="11" t="n">
        <v>39</v>
      </c>
      <c r="B40" s="11" t="n">
        <v>4</v>
      </c>
      <c r="C40" s="12">
        <f>(1+'Inputs &amp; Assumptions'!B8)^(A40-1)</f>
        <v/>
      </c>
      <c r="D40" s="13">
        <f>'Inputs &amp; Assumptions'!B7*C40</f>
        <v/>
      </c>
      <c r="E40" s="13">
        <f>'Inputs &amp; Assumptions'!B5*'Inputs &amp; Assumptions'!B6</f>
        <v/>
      </c>
      <c r="F40" s="13">
        <f>'Inputs &amp; Assumptions'!B9</f>
        <v/>
      </c>
      <c r="G40" s="13">
        <f>D40-E40</f>
        <v/>
      </c>
      <c r="H40" s="13">
        <f>G40-F40</f>
        <v/>
      </c>
      <c r="I40" s="14">
        <f>IF(D40&gt;0,H40/D40,0)</f>
        <v/>
      </c>
      <c r="J40" s="13">
        <f>J39+H40</f>
        <v/>
      </c>
      <c r="K40" s="11">
        <f>IF(AND(J40&gt;=0,J39&lt;0),"BREAK-EVEN",IF(J40&gt;=0,"Profitable","Pre-Profit"))</f>
        <v/>
      </c>
    </row>
    <row r="41">
      <c r="A41" s="11" t="n">
        <v>40</v>
      </c>
      <c r="B41" s="11" t="n">
        <v>4</v>
      </c>
      <c r="C41" s="12">
        <f>(1+'Inputs &amp; Assumptions'!B8)^(A41-1)</f>
        <v/>
      </c>
      <c r="D41" s="13">
        <f>'Inputs &amp; Assumptions'!B7*C41</f>
        <v/>
      </c>
      <c r="E41" s="13">
        <f>'Inputs &amp; Assumptions'!B5*'Inputs &amp; Assumptions'!B6</f>
        <v/>
      </c>
      <c r="F41" s="13">
        <f>'Inputs &amp; Assumptions'!B9</f>
        <v/>
      </c>
      <c r="G41" s="13">
        <f>D41-E41</f>
        <v/>
      </c>
      <c r="H41" s="13">
        <f>G41-F41</f>
        <v/>
      </c>
      <c r="I41" s="14">
        <f>IF(D41&gt;0,H41/D41,0)</f>
        <v/>
      </c>
      <c r="J41" s="13">
        <f>J40+H41</f>
        <v/>
      </c>
      <c r="K41" s="11">
        <f>IF(AND(J41&gt;=0,J40&lt;0),"BREAK-EVEN",IF(J41&gt;=0,"Profitable","Pre-Profit"))</f>
        <v/>
      </c>
    </row>
    <row r="42">
      <c r="A42" s="11" t="n">
        <v>41</v>
      </c>
      <c r="B42" s="11" t="n">
        <v>4</v>
      </c>
      <c r="C42" s="12">
        <f>(1+'Inputs &amp; Assumptions'!B8)^(A42-1)</f>
        <v/>
      </c>
      <c r="D42" s="13">
        <f>'Inputs &amp; Assumptions'!B7*C42</f>
        <v/>
      </c>
      <c r="E42" s="13">
        <f>'Inputs &amp; Assumptions'!B5*'Inputs &amp; Assumptions'!B6</f>
        <v/>
      </c>
      <c r="F42" s="13">
        <f>'Inputs &amp; Assumptions'!B9</f>
        <v/>
      </c>
      <c r="G42" s="13">
        <f>D42-E42</f>
        <v/>
      </c>
      <c r="H42" s="13">
        <f>G42-F42</f>
        <v/>
      </c>
      <c r="I42" s="14">
        <f>IF(D42&gt;0,H42/D42,0)</f>
        <v/>
      </c>
      <c r="J42" s="13">
        <f>J41+H42</f>
        <v/>
      </c>
      <c r="K42" s="11">
        <f>IF(AND(J42&gt;=0,J41&lt;0),"BREAK-EVEN",IF(J42&gt;=0,"Profitable","Pre-Profit"))</f>
        <v/>
      </c>
    </row>
    <row r="43">
      <c r="A43" s="11" t="n">
        <v>42</v>
      </c>
      <c r="B43" s="11" t="n">
        <v>4</v>
      </c>
      <c r="C43" s="12">
        <f>(1+'Inputs &amp; Assumptions'!B8)^(A43-1)</f>
        <v/>
      </c>
      <c r="D43" s="13">
        <f>'Inputs &amp; Assumptions'!B7*C43</f>
        <v/>
      </c>
      <c r="E43" s="13">
        <f>'Inputs &amp; Assumptions'!B5*'Inputs &amp; Assumptions'!B6</f>
        <v/>
      </c>
      <c r="F43" s="13">
        <f>'Inputs &amp; Assumptions'!B9</f>
        <v/>
      </c>
      <c r="G43" s="13">
        <f>D43-E43</f>
        <v/>
      </c>
      <c r="H43" s="13">
        <f>G43-F43</f>
        <v/>
      </c>
      <c r="I43" s="14">
        <f>IF(D43&gt;0,H43/D43,0)</f>
        <v/>
      </c>
      <c r="J43" s="13">
        <f>J42+H43</f>
        <v/>
      </c>
      <c r="K43" s="11">
        <f>IF(AND(J43&gt;=0,J42&lt;0),"BREAK-EVEN",IF(J43&gt;=0,"Profitable","Pre-Profit"))</f>
        <v/>
      </c>
    </row>
    <row r="44">
      <c r="A44" s="11" t="n">
        <v>43</v>
      </c>
      <c r="B44" s="11" t="n">
        <v>4</v>
      </c>
      <c r="C44" s="12">
        <f>(1+'Inputs &amp; Assumptions'!B8)^(A44-1)</f>
        <v/>
      </c>
      <c r="D44" s="13">
        <f>'Inputs &amp; Assumptions'!B7*C44</f>
        <v/>
      </c>
      <c r="E44" s="13">
        <f>'Inputs &amp; Assumptions'!B5*'Inputs &amp; Assumptions'!B6</f>
        <v/>
      </c>
      <c r="F44" s="13">
        <f>'Inputs &amp; Assumptions'!B9</f>
        <v/>
      </c>
      <c r="G44" s="13">
        <f>D44-E44</f>
        <v/>
      </c>
      <c r="H44" s="13">
        <f>G44-F44</f>
        <v/>
      </c>
      <c r="I44" s="14">
        <f>IF(D44&gt;0,H44/D44,0)</f>
        <v/>
      </c>
      <c r="J44" s="13">
        <f>J43+H44</f>
        <v/>
      </c>
      <c r="K44" s="11">
        <f>IF(AND(J44&gt;=0,J43&lt;0),"BREAK-EVEN",IF(J44&gt;=0,"Profitable","Pre-Profit"))</f>
        <v/>
      </c>
    </row>
    <row r="45">
      <c r="A45" s="11" t="n">
        <v>44</v>
      </c>
      <c r="B45" s="11" t="n">
        <v>4</v>
      </c>
      <c r="C45" s="12">
        <f>(1+'Inputs &amp; Assumptions'!B8)^(A45-1)</f>
        <v/>
      </c>
      <c r="D45" s="13">
        <f>'Inputs &amp; Assumptions'!B7*C45</f>
        <v/>
      </c>
      <c r="E45" s="13">
        <f>'Inputs &amp; Assumptions'!B5*'Inputs &amp; Assumptions'!B6</f>
        <v/>
      </c>
      <c r="F45" s="13">
        <f>'Inputs &amp; Assumptions'!B9</f>
        <v/>
      </c>
      <c r="G45" s="13">
        <f>D45-E45</f>
        <v/>
      </c>
      <c r="H45" s="13">
        <f>G45-F45</f>
        <v/>
      </c>
      <c r="I45" s="14">
        <f>IF(D45&gt;0,H45/D45,0)</f>
        <v/>
      </c>
      <c r="J45" s="13">
        <f>J44+H45</f>
        <v/>
      </c>
      <c r="K45" s="11">
        <f>IF(AND(J45&gt;=0,J44&lt;0),"BREAK-EVEN",IF(J45&gt;=0,"Profitable","Pre-Profit"))</f>
        <v/>
      </c>
    </row>
    <row r="46">
      <c r="A46" s="11" t="n">
        <v>45</v>
      </c>
      <c r="B46" s="11" t="n">
        <v>4</v>
      </c>
      <c r="C46" s="12">
        <f>(1+'Inputs &amp; Assumptions'!B8)^(A46-1)</f>
        <v/>
      </c>
      <c r="D46" s="13">
        <f>'Inputs &amp; Assumptions'!B7*C46</f>
        <v/>
      </c>
      <c r="E46" s="13">
        <f>'Inputs &amp; Assumptions'!B5*'Inputs &amp; Assumptions'!B6</f>
        <v/>
      </c>
      <c r="F46" s="13">
        <f>'Inputs &amp; Assumptions'!B9</f>
        <v/>
      </c>
      <c r="G46" s="13">
        <f>D46-E46</f>
        <v/>
      </c>
      <c r="H46" s="13">
        <f>G46-F46</f>
        <v/>
      </c>
      <c r="I46" s="14">
        <f>IF(D46&gt;0,H46/D46,0)</f>
        <v/>
      </c>
      <c r="J46" s="13">
        <f>J45+H46</f>
        <v/>
      </c>
      <c r="K46" s="11">
        <f>IF(AND(J46&gt;=0,J45&lt;0),"BREAK-EVEN",IF(J46&gt;=0,"Profitable","Pre-Profit"))</f>
        <v/>
      </c>
    </row>
    <row r="47">
      <c r="A47" s="11" t="n">
        <v>46</v>
      </c>
      <c r="B47" s="11" t="n">
        <v>4</v>
      </c>
      <c r="C47" s="12">
        <f>(1+'Inputs &amp; Assumptions'!B8)^(A47-1)</f>
        <v/>
      </c>
      <c r="D47" s="13">
        <f>'Inputs &amp; Assumptions'!B7*C47</f>
        <v/>
      </c>
      <c r="E47" s="13">
        <f>'Inputs &amp; Assumptions'!B5*'Inputs &amp; Assumptions'!B6</f>
        <v/>
      </c>
      <c r="F47" s="13">
        <f>'Inputs &amp; Assumptions'!B9</f>
        <v/>
      </c>
      <c r="G47" s="13">
        <f>D47-E47</f>
        <v/>
      </c>
      <c r="H47" s="13">
        <f>G47-F47</f>
        <v/>
      </c>
      <c r="I47" s="14">
        <f>IF(D47&gt;0,H47/D47,0)</f>
        <v/>
      </c>
      <c r="J47" s="13">
        <f>J46+H47</f>
        <v/>
      </c>
      <c r="K47" s="11">
        <f>IF(AND(J47&gt;=0,J46&lt;0),"BREAK-EVEN",IF(J47&gt;=0,"Profitable","Pre-Profit"))</f>
        <v/>
      </c>
    </row>
    <row r="48">
      <c r="A48" s="11" t="n">
        <v>47</v>
      </c>
      <c r="B48" s="11" t="n">
        <v>4</v>
      </c>
      <c r="C48" s="12">
        <f>(1+'Inputs &amp; Assumptions'!B8)^(A48-1)</f>
        <v/>
      </c>
      <c r="D48" s="13">
        <f>'Inputs &amp; Assumptions'!B7*C48</f>
        <v/>
      </c>
      <c r="E48" s="13">
        <f>'Inputs &amp; Assumptions'!B5*'Inputs &amp; Assumptions'!B6</f>
        <v/>
      </c>
      <c r="F48" s="13">
        <f>'Inputs &amp; Assumptions'!B9</f>
        <v/>
      </c>
      <c r="G48" s="13">
        <f>D48-E48</f>
        <v/>
      </c>
      <c r="H48" s="13">
        <f>G48-F48</f>
        <v/>
      </c>
      <c r="I48" s="14">
        <f>IF(D48&gt;0,H48/D48,0)</f>
        <v/>
      </c>
      <c r="J48" s="13">
        <f>J47+H48</f>
        <v/>
      </c>
      <c r="K48" s="11">
        <f>IF(AND(J48&gt;=0,J47&lt;0),"BREAK-EVEN",IF(J48&gt;=0,"Profitable","Pre-Profit"))</f>
        <v/>
      </c>
    </row>
    <row r="49">
      <c r="A49" s="11" t="n">
        <v>48</v>
      </c>
      <c r="B49" s="11" t="n">
        <v>4</v>
      </c>
      <c r="C49" s="12">
        <f>(1+'Inputs &amp; Assumptions'!B8)^(A49-1)</f>
        <v/>
      </c>
      <c r="D49" s="13">
        <f>'Inputs &amp; Assumptions'!B7*C49</f>
        <v/>
      </c>
      <c r="E49" s="13">
        <f>'Inputs &amp; Assumptions'!B5*'Inputs &amp; Assumptions'!B6</f>
        <v/>
      </c>
      <c r="F49" s="13">
        <f>'Inputs &amp; Assumptions'!B9</f>
        <v/>
      </c>
      <c r="G49" s="13">
        <f>D49-E49</f>
        <v/>
      </c>
      <c r="H49" s="13">
        <f>G49-F49</f>
        <v/>
      </c>
      <c r="I49" s="14">
        <f>IF(D49&gt;0,H49/D49,0)</f>
        <v/>
      </c>
      <c r="J49" s="13">
        <f>J48+H49</f>
        <v/>
      </c>
      <c r="K49" s="11">
        <f>IF(AND(J49&gt;=0,J48&lt;0),"BREAK-EVEN",IF(J49&gt;=0,"Profitable","Pre-Profit"))</f>
        <v/>
      </c>
    </row>
    <row r="50">
      <c r="A50" s="11" t="n">
        <v>49</v>
      </c>
      <c r="B50" s="11" t="n">
        <v>5</v>
      </c>
      <c r="C50" s="12">
        <f>(1+'Inputs &amp; Assumptions'!B8)^(A50-1)</f>
        <v/>
      </c>
      <c r="D50" s="13">
        <f>'Inputs &amp; Assumptions'!B7*C50</f>
        <v/>
      </c>
      <c r="E50" s="13">
        <f>'Inputs &amp; Assumptions'!B5*'Inputs &amp; Assumptions'!B6</f>
        <v/>
      </c>
      <c r="F50" s="13">
        <f>'Inputs &amp; Assumptions'!B9</f>
        <v/>
      </c>
      <c r="G50" s="13">
        <f>D50-E50</f>
        <v/>
      </c>
      <c r="H50" s="13">
        <f>G50-F50</f>
        <v/>
      </c>
      <c r="I50" s="14">
        <f>IF(D50&gt;0,H50/D50,0)</f>
        <v/>
      </c>
      <c r="J50" s="13">
        <f>J49+H50</f>
        <v/>
      </c>
      <c r="K50" s="11">
        <f>IF(AND(J50&gt;=0,J49&lt;0),"BREAK-EVEN",IF(J50&gt;=0,"Profitable","Pre-Profit"))</f>
        <v/>
      </c>
    </row>
    <row r="51">
      <c r="A51" s="11" t="n">
        <v>50</v>
      </c>
      <c r="B51" s="11" t="n">
        <v>5</v>
      </c>
      <c r="C51" s="12">
        <f>(1+'Inputs &amp; Assumptions'!B8)^(A51-1)</f>
        <v/>
      </c>
      <c r="D51" s="13">
        <f>'Inputs &amp; Assumptions'!B7*C51</f>
        <v/>
      </c>
      <c r="E51" s="13">
        <f>'Inputs &amp; Assumptions'!B5*'Inputs &amp; Assumptions'!B6</f>
        <v/>
      </c>
      <c r="F51" s="13">
        <f>'Inputs &amp; Assumptions'!B9</f>
        <v/>
      </c>
      <c r="G51" s="13">
        <f>D51-E51</f>
        <v/>
      </c>
      <c r="H51" s="13">
        <f>G51-F51</f>
        <v/>
      </c>
      <c r="I51" s="14">
        <f>IF(D51&gt;0,H51/D51,0)</f>
        <v/>
      </c>
      <c r="J51" s="13">
        <f>J50+H51</f>
        <v/>
      </c>
      <c r="K51" s="11">
        <f>IF(AND(J51&gt;=0,J50&lt;0),"BREAK-EVEN",IF(J51&gt;=0,"Profitable","Pre-Profit"))</f>
        <v/>
      </c>
    </row>
    <row r="52">
      <c r="A52" s="11" t="n">
        <v>51</v>
      </c>
      <c r="B52" s="11" t="n">
        <v>5</v>
      </c>
      <c r="C52" s="12">
        <f>(1+'Inputs &amp; Assumptions'!B8)^(A52-1)</f>
        <v/>
      </c>
      <c r="D52" s="13">
        <f>'Inputs &amp; Assumptions'!B7*C52</f>
        <v/>
      </c>
      <c r="E52" s="13">
        <f>'Inputs &amp; Assumptions'!B5*'Inputs &amp; Assumptions'!B6</f>
        <v/>
      </c>
      <c r="F52" s="13">
        <f>'Inputs &amp; Assumptions'!B9</f>
        <v/>
      </c>
      <c r="G52" s="13">
        <f>D52-E52</f>
        <v/>
      </c>
      <c r="H52" s="13">
        <f>G52-F52</f>
        <v/>
      </c>
      <c r="I52" s="14">
        <f>IF(D52&gt;0,H52/D52,0)</f>
        <v/>
      </c>
      <c r="J52" s="13">
        <f>J51+H52</f>
        <v/>
      </c>
      <c r="K52" s="11">
        <f>IF(AND(J52&gt;=0,J51&lt;0),"BREAK-EVEN",IF(J52&gt;=0,"Profitable","Pre-Profit"))</f>
        <v/>
      </c>
    </row>
    <row r="53">
      <c r="A53" s="11" t="n">
        <v>52</v>
      </c>
      <c r="B53" s="11" t="n">
        <v>5</v>
      </c>
      <c r="C53" s="12">
        <f>(1+'Inputs &amp; Assumptions'!B8)^(A53-1)</f>
        <v/>
      </c>
      <c r="D53" s="13">
        <f>'Inputs &amp; Assumptions'!B7*C53</f>
        <v/>
      </c>
      <c r="E53" s="13">
        <f>'Inputs &amp; Assumptions'!B5*'Inputs &amp; Assumptions'!B6</f>
        <v/>
      </c>
      <c r="F53" s="13">
        <f>'Inputs &amp; Assumptions'!B9</f>
        <v/>
      </c>
      <c r="G53" s="13">
        <f>D53-E53</f>
        <v/>
      </c>
      <c r="H53" s="13">
        <f>G53-F53</f>
        <v/>
      </c>
      <c r="I53" s="14">
        <f>IF(D53&gt;0,H53/D53,0)</f>
        <v/>
      </c>
      <c r="J53" s="13">
        <f>J52+H53</f>
        <v/>
      </c>
      <c r="K53" s="11">
        <f>IF(AND(J53&gt;=0,J52&lt;0),"BREAK-EVEN",IF(J53&gt;=0,"Profitable","Pre-Profit"))</f>
        <v/>
      </c>
    </row>
    <row r="54">
      <c r="A54" s="11" t="n">
        <v>53</v>
      </c>
      <c r="B54" s="11" t="n">
        <v>5</v>
      </c>
      <c r="C54" s="12">
        <f>(1+'Inputs &amp; Assumptions'!B8)^(A54-1)</f>
        <v/>
      </c>
      <c r="D54" s="13">
        <f>'Inputs &amp; Assumptions'!B7*C54</f>
        <v/>
      </c>
      <c r="E54" s="13">
        <f>'Inputs &amp; Assumptions'!B5*'Inputs &amp; Assumptions'!B6</f>
        <v/>
      </c>
      <c r="F54" s="13">
        <f>'Inputs &amp; Assumptions'!B9</f>
        <v/>
      </c>
      <c r="G54" s="13">
        <f>D54-E54</f>
        <v/>
      </c>
      <c r="H54" s="13">
        <f>G54-F54</f>
        <v/>
      </c>
      <c r="I54" s="14">
        <f>IF(D54&gt;0,H54/D54,0)</f>
        <v/>
      </c>
      <c r="J54" s="13">
        <f>J53+H54</f>
        <v/>
      </c>
      <c r="K54" s="11">
        <f>IF(AND(J54&gt;=0,J53&lt;0),"BREAK-EVEN",IF(J54&gt;=0,"Profitable","Pre-Profit"))</f>
        <v/>
      </c>
    </row>
    <row r="55">
      <c r="A55" s="11" t="n">
        <v>54</v>
      </c>
      <c r="B55" s="11" t="n">
        <v>5</v>
      </c>
      <c r="C55" s="12">
        <f>(1+'Inputs &amp; Assumptions'!B8)^(A55-1)</f>
        <v/>
      </c>
      <c r="D55" s="13">
        <f>'Inputs &amp; Assumptions'!B7*C55</f>
        <v/>
      </c>
      <c r="E55" s="13">
        <f>'Inputs &amp; Assumptions'!B5*'Inputs &amp; Assumptions'!B6</f>
        <v/>
      </c>
      <c r="F55" s="13">
        <f>'Inputs &amp; Assumptions'!B9</f>
        <v/>
      </c>
      <c r="G55" s="13">
        <f>D55-E55</f>
        <v/>
      </c>
      <c r="H55" s="13">
        <f>G55-F55</f>
        <v/>
      </c>
      <c r="I55" s="14">
        <f>IF(D55&gt;0,H55/D55,0)</f>
        <v/>
      </c>
      <c r="J55" s="13">
        <f>J54+H55</f>
        <v/>
      </c>
      <c r="K55" s="11">
        <f>IF(AND(J55&gt;=0,J54&lt;0),"BREAK-EVEN",IF(J55&gt;=0,"Profitable","Pre-Profit"))</f>
        <v/>
      </c>
    </row>
    <row r="56">
      <c r="A56" s="11" t="n">
        <v>55</v>
      </c>
      <c r="B56" s="11" t="n">
        <v>5</v>
      </c>
      <c r="C56" s="12">
        <f>(1+'Inputs &amp; Assumptions'!B8)^(A56-1)</f>
        <v/>
      </c>
      <c r="D56" s="13">
        <f>'Inputs &amp; Assumptions'!B7*C56</f>
        <v/>
      </c>
      <c r="E56" s="13">
        <f>'Inputs &amp; Assumptions'!B5*'Inputs &amp; Assumptions'!B6</f>
        <v/>
      </c>
      <c r="F56" s="13">
        <f>'Inputs &amp; Assumptions'!B9</f>
        <v/>
      </c>
      <c r="G56" s="13">
        <f>D56-E56</f>
        <v/>
      </c>
      <c r="H56" s="13">
        <f>G56-F56</f>
        <v/>
      </c>
      <c r="I56" s="14">
        <f>IF(D56&gt;0,H56/D56,0)</f>
        <v/>
      </c>
      <c r="J56" s="13">
        <f>J55+H56</f>
        <v/>
      </c>
      <c r="K56" s="11">
        <f>IF(AND(J56&gt;=0,J55&lt;0),"BREAK-EVEN",IF(J56&gt;=0,"Profitable","Pre-Profit"))</f>
        <v/>
      </c>
    </row>
    <row r="57">
      <c r="A57" s="11" t="n">
        <v>56</v>
      </c>
      <c r="B57" s="11" t="n">
        <v>5</v>
      </c>
      <c r="C57" s="12">
        <f>(1+'Inputs &amp; Assumptions'!B8)^(A57-1)</f>
        <v/>
      </c>
      <c r="D57" s="13">
        <f>'Inputs &amp; Assumptions'!B7*C57</f>
        <v/>
      </c>
      <c r="E57" s="13">
        <f>'Inputs &amp; Assumptions'!B5*'Inputs &amp; Assumptions'!B6</f>
        <v/>
      </c>
      <c r="F57" s="13">
        <f>'Inputs &amp; Assumptions'!B9</f>
        <v/>
      </c>
      <c r="G57" s="13">
        <f>D57-E57</f>
        <v/>
      </c>
      <c r="H57" s="13">
        <f>G57-F57</f>
        <v/>
      </c>
      <c r="I57" s="14">
        <f>IF(D57&gt;0,H57/D57,0)</f>
        <v/>
      </c>
      <c r="J57" s="13">
        <f>J56+H57</f>
        <v/>
      </c>
      <c r="K57" s="11">
        <f>IF(AND(J57&gt;=0,J56&lt;0),"BREAK-EVEN",IF(J57&gt;=0,"Profitable","Pre-Profit"))</f>
        <v/>
      </c>
    </row>
    <row r="58">
      <c r="A58" s="11" t="n">
        <v>57</v>
      </c>
      <c r="B58" s="11" t="n">
        <v>5</v>
      </c>
      <c r="C58" s="12">
        <f>(1+'Inputs &amp; Assumptions'!B8)^(A58-1)</f>
        <v/>
      </c>
      <c r="D58" s="13">
        <f>'Inputs &amp; Assumptions'!B7*C58</f>
        <v/>
      </c>
      <c r="E58" s="13">
        <f>'Inputs &amp; Assumptions'!B5*'Inputs &amp; Assumptions'!B6</f>
        <v/>
      </c>
      <c r="F58" s="13">
        <f>'Inputs &amp; Assumptions'!B9</f>
        <v/>
      </c>
      <c r="G58" s="13">
        <f>D58-E58</f>
        <v/>
      </c>
      <c r="H58" s="13">
        <f>G58-F58</f>
        <v/>
      </c>
      <c r="I58" s="14">
        <f>IF(D58&gt;0,H58/D58,0)</f>
        <v/>
      </c>
      <c r="J58" s="13">
        <f>J57+H58</f>
        <v/>
      </c>
      <c r="K58" s="11">
        <f>IF(AND(J58&gt;=0,J57&lt;0),"BREAK-EVEN",IF(J58&gt;=0,"Profitable","Pre-Profit"))</f>
        <v/>
      </c>
    </row>
    <row r="59">
      <c r="A59" s="11" t="n">
        <v>58</v>
      </c>
      <c r="B59" s="11" t="n">
        <v>5</v>
      </c>
      <c r="C59" s="12">
        <f>(1+'Inputs &amp; Assumptions'!B8)^(A59-1)</f>
        <v/>
      </c>
      <c r="D59" s="13">
        <f>'Inputs &amp; Assumptions'!B7*C59</f>
        <v/>
      </c>
      <c r="E59" s="13">
        <f>'Inputs &amp; Assumptions'!B5*'Inputs &amp; Assumptions'!B6</f>
        <v/>
      </c>
      <c r="F59" s="13">
        <f>'Inputs &amp; Assumptions'!B9</f>
        <v/>
      </c>
      <c r="G59" s="13">
        <f>D59-E59</f>
        <v/>
      </c>
      <c r="H59" s="13">
        <f>G59-F59</f>
        <v/>
      </c>
      <c r="I59" s="14">
        <f>IF(D59&gt;0,H59/D59,0)</f>
        <v/>
      </c>
      <c r="J59" s="13">
        <f>J58+H59</f>
        <v/>
      </c>
      <c r="K59" s="11">
        <f>IF(AND(J59&gt;=0,J58&lt;0),"BREAK-EVEN",IF(J59&gt;=0,"Profitable","Pre-Profit"))</f>
        <v/>
      </c>
    </row>
    <row r="60">
      <c r="A60" s="11" t="n">
        <v>59</v>
      </c>
      <c r="B60" s="11" t="n">
        <v>5</v>
      </c>
      <c r="C60" s="12">
        <f>(1+'Inputs &amp; Assumptions'!B8)^(A60-1)</f>
        <v/>
      </c>
      <c r="D60" s="13">
        <f>'Inputs &amp; Assumptions'!B7*C60</f>
        <v/>
      </c>
      <c r="E60" s="13">
        <f>'Inputs &amp; Assumptions'!B5*'Inputs &amp; Assumptions'!B6</f>
        <v/>
      </c>
      <c r="F60" s="13">
        <f>'Inputs &amp; Assumptions'!B9</f>
        <v/>
      </c>
      <c r="G60" s="13">
        <f>D60-E60</f>
        <v/>
      </c>
      <c r="H60" s="13">
        <f>G60-F60</f>
        <v/>
      </c>
      <c r="I60" s="14">
        <f>IF(D60&gt;0,H60/D60,0)</f>
        <v/>
      </c>
      <c r="J60" s="13">
        <f>J59+H60</f>
        <v/>
      </c>
      <c r="K60" s="11">
        <f>IF(AND(J60&gt;=0,J59&lt;0),"BREAK-EVEN",IF(J60&gt;=0,"Profitable","Pre-Profit"))</f>
        <v/>
      </c>
    </row>
    <row r="61">
      <c r="A61" s="11" t="n">
        <v>60</v>
      </c>
      <c r="B61" s="11" t="n">
        <v>5</v>
      </c>
      <c r="C61" s="12">
        <f>(1+'Inputs &amp; Assumptions'!B8)^(A61-1)</f>
        <v/>
      </c>
      <c r="D61" s="13">
        <f>'Inputs &amp; Assumptions'!B7*C61</f>
        <v/>
      </c>
      <c r="E61" s="13">
        <f>'Inputs &amp; Assumptions'!B5*'Inputs &amp; Assumptions'!B6</f>
        <v/>
      </c>
      <c r="F61" s="13">
        <f>'Inputs &amp; Assumptions'!B9</f>
        <v/>
      </c>
      <c r="G61" s="13">
        <f>D61-E61</f>
        <v/>
      </c>
      <c r="H61" s="13">
        <f>G61-F61</f>
        <v/>
      </c>
      <c r="I61" s="14">
        <f>IF(D61&gt;0,H61/D61,0)</f>
        <v/>
      </c>
      <c r="J61" s="13">
        <f>J60+H61</f>
        <v/>
      </c>
      <c r="K61" s="11">
        <f>IF(AND(J61&gt;=0,J60&lt;0),"BREAK-EVEN",IF(J61&gt;=0,"Profitable","Pre-Profit"))</f>
        <v/>
      </c>
    </row>
    <row r="63">
      <c r="A63" s="15" t="inlineStr">
        <is>
          <t>YEAR 1 TOTAL</t>
        </is>
      </c>
      <c r="D63" s="16">
        <f>SUM(D2:D13)</f>
        <v/>
      </c>
      <c r="E63" s="16">
        <f>SUM(E2:E13)</f>
        <v/>
      </c>
      <c r="F63" s="16">
        <f>SUM(F2:F13)</f>
        <v/>
      </c>
      <c r="G63" s="16">
        <f>SUM(G2:G13)</f>
        <v/>
      </c>
      <c r="H63" s="16">
        <f>SUM(H2:H13)</f>
        <v/>
      </c>
    </row>
    <row r="64">
      <c r="A64" s="15" t="inlineStr">
        <is>
          <t>YEAR 2 TOTAL</t>
        </is>
      </c>
      <c r="D64" s="16">
        <f>SUM(D14:D25)</f>
        <v/>
      </c>
      <c r="E64" s="16">
        <f>SUM(E14:E25)</f>
        <v/>
      </c>
      <c r="F64" s="16">
        <f>SUM(F14:F25)</f>
        <v/>
      </c>
      <c r="G64" s="16">
        <f>SUM(G14:G25)</f>
        <v/>
      </c>
      <c r="H64" s="16">
        <f>SUM(H14:H25)</f>
        <v/>
      </c>
    </row>
    <row r="65">
      <c r="A65" s="15" t="inlineStr">
        <is>
          <t>YEAR 3 TOTAL</t>
        </is>
      </c>
      <c r="D65" s="16">
        <f>SUM(D26:D37)</f>
        <v/>
      </c>
      <c r="E65" s="16">
        <f>SUM(E26:E37)</f>
        <v/>
      </c>
      <c r="F65" s="16">
        <f>SUM(F26:F37)</f>
        <v/>
      </c>
      <c r="G65" s="16">
        <f>SUM(G26:G37)</f>
        <v/>
      </c>
      <c r="H65" s="16">
        <f>SUM(H26:H37)</f>
        <v/>
      </c>
    </row>
    <row r="66">
      <c r="A66" s="15" t="inlineStr">
        <is>
          <t>YEAR 4 TOTAL</t>
        </is>
      </c>
      <c r="D66" s="16">
        <f>SUM(D38:D49)</f>
        <v/>
      </c>
      <c r="E66" s="16">
        <f>SUM(E38:E49)</f>
        <v/>
      </c>
      <c r="F66" s="16">
        <f>SUM(F38:F49)</f>
        <v/>
      </c>
      <c r="G66" s="16">
        <f>SUM(G38:G49)</f>
        <v/>
      </c>
      <c r="H66" s="16">
        <f>SUM(H38:H49)</f>
        <v/>
      </c>
    </row>
    <row r="67">
      <c r="A67" s="15" t="inlineStr">
        <is>
          <t>YEAR 5 TOTAL</t>
        </is>
      </c>
      <c r="D67" s="16">
        <f>SUM(D50:D61)</f>
        <v/>
      </c>
      <c r="E67" s="16">
        <f>SUM(E50:E61)</f>
        <v/>
      </c>
      <c r="F67" s="16">
        <f>SUM(F50:F61)</f>
        <v/>
      </c>
      <c r="G67" s="16">
        <f>SUM(G50:G61)</f>
        <v/>
      </c>
      <c r="H67" s="16">
        <f>SUM(H50:H61)</f>
        <v/>
      </c>
    </row>
    <row r="68">
      <c r="A68" s="17" t="inlineStr">
        <is>
          <t>5-YEAR TOTAL</t>
        </is>
      </c>
      <c r="D68" s="18">
        <f>SUM(D63:D67)</f>
        <v/>
      </c>
      <c r="E68" s="18">
        <f>SUM(E63:E67)</f>
        <v/>
      </c>
      <c r="F68" s="18">
        <f>SUM(F63:F67)</f>
        <v/>
      </c>
      <c r="G68" s="18">
        <f>SUM(G63:G67)</f>
        <v/>
      </c>
      <c r="H68" s="18">
        <f>SUM(H63:H67)</f>
        <v/>
      </c>
    </row>
    <row r="69">
      <c r="A69" s="19" t="inlineStr">
        <is>
          <t>5-YEAR ROI</t>
        </is>
      </c>
      <c r="D69" s="20">
        <f>IF('Inputs &amp; Assumptions'!B10&gt;0,H68/'Inputs &amp; Assumptions'!B10,0)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AI Agent Infrastructure — Market Share</t>
        </is>
      </c>
    </row>
    <row r="3">
      <c r="A3" s="3" t="inlineStr">
        <is>
          <t>Segment</t>
        </is>
      </c>
      <c r="B3" s="3" t="inlineStr">
        <is>
          <t>Share %</t>
        </is>
      </c>
    </row>
    <row r="4">
      <c r="A4" s="21" t="inlineStr">
        <is>
          <t>Delegate AI</t>
        </is>
      </c>
      <c r="B4" s="10" t="n">
        <v>15</v>
      </c>
    </row>
    <row r="5">
      <c r="A5" s="4" t="inlineStr">
        <is>
          <t>Enterprise</t>
        </is>
      </c>
      <c r="B5" s="10" t="n">
        <v>35</v>
      </c>
    </row>
    <row r="6">
      <c r="A6" s="4" t="inlineStr">
        <is>
          <t>Mid-Market</t>
        </is>
      </c>
      <c r="B6" s="10" t="n">
        <v>25</v>
      </c>
    </row>
    <row r="7">
      <c r="A7" s="4" t="inlineStr">
        <is>
          <t>Startups</t>
        </is>
      </c>
      <c r="B7" s="10" t="n">
        <v>15</v>
      </c>
    </row>
    <row r="8">
      <c r="A8" s="4" t="inlineStr">
        <is>
          <t>Unaddressed</t>
        </is>
      </c>
      <c r="B8" s="10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5-Year Sensitivity: Cost &amp; Revenue Scenarios</t>
        </is>
      </c>
    </row>
    <row r="3">
      <c r="A3" s="3" t="inlineStr">
        <is>
          <t>Scenario</t>
        </is>
      </c>
      <c r="B3" s="3" t="inlineStr">
        <is>
          <t>Agent Cost</t>
        </is>
      </c>
      <c r="C3" s="3" t="inlineStr">
        <is>
          <t>Fixed Cost</t>
        </is>
      </c>
      <c r="D3" s="3" t="inlineStr">
        <is>
          <t>5Y Net Profit</t>
        </is>
      </c>
      <c r="E3" s="3" t="inlineStr">
        <is>
          <t>5Y Margin</t>
        </is>
      </c>
    </row>
    <row r="4">
      <c r="A4" s="4" t="inlineStr">
        <is>
          <t>Base Case</t>
        </is>
      </c>
      <c r="B4" s="13">
        <f>'Inputs &amp; Assumptions'!B6*1.0</f>
        <v/>
      </c>
      <c r="C4" s="13">
        <f>'Inputs &amp; Assumptions'!B9*1.0</f>
        <v/>
      </c>
      <c r="D4" s="13">
        <f>('Inputs &amp; Assumptions'!B7*60-'Inputs &amp; Assumptions'!B5*B4*60-C4*60)</f>
        <v/>
      </c>
      <c r="E4" s="14">
        <f>IF(D4&lt;&gt;0,D4/('Inputs &amp; Assumptions'!B7*60),0)</f>
        <v/>
      </c>
    </row>
    <row r="5">
      <c r="A5" s="4" t="inlineStr">
        <is>
          <t>Costs +25%</t>
        </is>
      </c>
      <c r="B5" s="13">
        <f>'Inputs &amp; Assumptions'!B6*1.25</f>
        <v/>
      </c>
      <c r="C5" s="13">
        <f>'Inputs &amp; Assumptions'!B9*1.25</f>
        <v/>
      </c>
      <c r="D5" s="13">
        <f>('Inputs &amp; Assumptions'!B7*60-'Inputs &amp; Assumptions'!B5*B5*60-C5*60)</f>
        <v/>
      </c>
      <c r="E5" s="14">
        <f>IF(D5&lt;&gt;0,D5/('Inputs &amp; Assumptions'!B7*60),0)</f>
        <v/>
      </c>
    </row>
    <row r="6">
      <c r="A6" s="4" t="inlineStr">
        <is>
          <t>Costs +50%</t>
        </is>
      </c>
      <c r="B6" s="13">
        <f>'Inputs &amp; Assumptions'!B6*1.5</f>
        <v/>
      </c>
      <c r="C6" s="13">
        <f>'Inputs &amp; Assumptions'!B9*1.5</f>
        <v/>
      </c>
      <c r="D6" s="13">
        <f>('Inputs &amp; Assumptions'!B7*60-'Inputs &amp; Assumptions'!B5*B6*60-C6*60)</f>
        <v/>
      </c>
      <c r="E6" s="14">
        <f>IF(D6&lt;&gt;0,D6/('Inputs &amp; Assumptions'!B7*60),0)</f>
        <v/>
      </c>
    </row>
    <row r="7">
      <c r="A7" s="22" t="inlineStr">
        <is>
          <t>Costs Doubled</t>
        </is>
      </c>
      <c r="B7" s="23">
        <f>'Inputs &amp; Assumptions'!B6*2.0</f>
        <v/>
      </c>
      <c r="C7" s="23">
        <f>'Inputs &amp; Assumptions'!B9*2.0</f>
        <v/>
      </c>
      <c r="D7" s="23">
        <f>('Inputs &amp; Assumptions'!B7*60-'Inputs &amp; Assumptions'!B5*B7*60-C7*60)</f>
        <v/>
      </c>
      <c r="E7" s="24">
        <f>IF(D7&lt;&gt;0,D7/('Inputs &amp; Assumptions'!B7*60),0)</f>
        <v/>
      </c>
    </row>
    <row r="8">
      <c r="A8" s="4" t="inlineStr">
        <is>
          <t>Costs Tripled</t>
        </is>
      </c>
      <c r="B8" s="13">
        <f>'Inputs &amp; Assumptions'!B6*3.0</f>
        <v/>
      </c>
      <c r="C8" s="13">
        <f>'Inputs &amp; Assumptions'!B9*3.0</f>
        <v/>
      </c>
      <c r="D8" s="13">
        <f>('Inputs &amp; Assumptions'!B7*60-'Inputs &amp; Assumptions'!B5*B8*60-C8*60)</f>
        <v/>
      </c>
      <c r="E8" s="14">
        <f>IF(D8&lt;&gt;0,D8/('Inputs &amp; Assumptions'!B7*60),0)</f>
        <v/>
      </c>
    </row>
    <row r="9">
      <c r="A9" s="4" t="inlineStr">
        <is>
          <t>Revenue -20%</t>
        </is>
      </c>
      <c r="B9" s="13">
        <f>'Inputs &amp; Assumptions'!B6*1.0</f>
        <v/>
      </c>
      <c r="C9" s="13">
        <f>'Inputs &amp; Assumptions'!B9*1.0</f>
        <v/>
      </c>
      <c r="D9" s="13">
        <f>('Inputs &amp; Assumptions'!B7*0.8*60-'Inputs &amp; Assumptions'!B5*'Inputs &amp; Assumptions'!B6*60-'Inputs &amp; Assumptions'!B9*60)</f>
        <v/>
      </c>
      <c r="E9" s="14">
        <f>IF(D9&lt;&gt;0,D9/('Inputs &amp; Assumptions'!B7*60),0)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Agent</t>
        </is>
      </c>
      <c r="B1" s="3" t="inlineStr">
        <is>
          <t>Monthly Cost</t>
        </is>
      </c>
      <c r="C1" s="3" t="inlineStr">
        <is>
          <t>Decisions/Mo</t>
        </is>
      </c>
      <c r="D1" s="3" t="inlineStr">
        <is>
          <t>Cost/Decision</t>
        </is>
      </c>
      <c r="E1" s="3" t="inlineStr">
        <is>
          <t>5Y ROI Multiplier</t>
        </is>
      </c>
    </row>
    <row r="2">
      <c r="A2" s="4" t="inlineStr">
        <is>
          <t>CEO</t>
        </is>
      </c>
      <c r="B2" s="13">
        <f>'Inputs &amp; Assumptions'!B6</f>
        <v/>
      </c>
      <c r="C2" s="11" t="n">
        <v>150</v>
      </c>
      <c r="D2" s="13">
        <f>IF(C2&gt;0,B2/C2,0)</f>
        <v/>
      </c>
      <c r="E2" s="11">
        <f>IF(B2&gt;0,('Inputs &amp; Assumptions'!B7/'Inputs &amp; Assumptions'!B5)/(B2*60),0)</f>
        <v/>
      </c>
    </row>
    <row r="3">
      <c r="A3" s="4" t="inlineStr">
        <is>
          <t>CFO</t>
        </is>
      </c>
      <c r="B3" s="13">
        <f>'Inputs &amp; Assumptions'!B6</f>
        <v/>
      </c>
      <c r="C3" s="11" t="n">
        <v>170</v>
      </c>
      <c r="D3" s="13">
        <f>IF(C3&gt;0,B3/C3,0)</f>
        <v/>
      </c>
      <c r="E3" s="11">
        <f>IF(B3&gt;0,('Inputs &amp; Assumptions'!B7/'Inputs &amp; Assumptions'!B5)/(B3*60),0)</f>
        <v/>
      </c>
    </row>
    <row r="4">
      <c r="A4" s="4" t="inlineStr">
        <is>
          <t>CTO</t>
        </is>
      </c>
      <c r="B4" s="13">
        <f>'Inputs &amp; Assumptions'!B6</f>
        <v/>
      </c>
      <c r="C4" s="11" t="n">
        <v>190</v>
      </c>
      <c r="D4" s="13">
        <f>IF(C4&gt;0,B4/C4,0)</f>
        <v/>
      </c>
      <c r="E4" s="11">
        <f>IF(B4&gt;0,('Inputs &amp; Assumptions'!B7/'Inputs &amp; Assumptions'!B5)/(B4*60),0)</f>
        <v/>
      </c>
    </row>
    <row r="5">
      <c r="A5" s="4" t="inlineStr">
        <is>
          <t>CMO</t>
        </is>
      </c>
      <c r="B5" s="13">
        <f>'Inputs &amp; Assumptions'!B6</f>
        <v/>
      </c>
      <c r="C5" s="11" t="n">
        <v>210</v>
      </c>
      <c r="D5" s="13">
        <f>IF(C5&gt;0,B5/C5,0)</f>
        <v/>
      </c>
      <c r="E5" s="11">
        <f>IF(B5&gt;0,('Inputs &amp; Assumptions'!B7/'Inputs &amp; Assumptions'!B5)/(B5*60),0)</f>
        <v/>
      </c>
    </row>
    <row r="6">
      <c r="A6" s="4" t="inlineStr">
        <is>
          <t>Deep Crawler</t>
        </is>
      </c>
      <c r="B6" s="13">
        <f>'Inputs &amp; Assumptions'!B6</f>
        <v/>
      </c>
      <c r="C6" s="11" t="n">
        <v>230</v>
      </c>
      <c r="D6" s="13">
        <f>IF(C6&gt;0,B6/C6,0)</f>
        <v/>
      </c>
      <c r="E6" s="11">
        <f>IF(B6&gt;0,('Inputs &amp; Assumptions'!B7/'Inputs &amp; Assumptions'!B5)/(B6*60),0)</f>
        <v/>
      </c>
    </row>
    <row r="7">
      <c r="A7" s="4" t="inlineStr">
        <is>
          <t>The Critic</t>
        </is>
      </c>
      <c r="B7" s="13">
        <f>'Inputs &amp; Assumptions'!B6</f>
        <v/>
      </c>
      <c r="C7" s="11" t="n">
        <v>250</v>
      </c>
      <c r="D7" s="13">
        <f>IF(C7&gt;0,B7/C7,0)</f>
        <v/>
      </c>
      <c r="E7" s="11">
        <f>IF(B7&gt;0,('Inputs &amp; Assumptions'!B7/'Inputs &amp; Assumptions'!B5)/(B7*60),0)</f>
        <v/>
      </c>
    </row>
    <row r="8">
      <c r="A8" s="4" t="inlineStr">
        <is>
          <t>The Librarian</t>
        </is>
      </c>
      <c r="B8" s="13">
        <f>'Inputs &amp; Assumptions'!B6</f>
        <v/>
      </c>
      <c r="C8" s="11" t="n">
        <v>270</v>
      </c>
      <c r="D8" s="13">
        <f>IF(C8&gt;0,B8/C8,0)</f>
        <v/>
      </c>
      <c r="E8" s="11">
        <f>IF(B8&gt;0,('Inputs &amp; Assumptions'!B7/'Inputs &amp; Assumptions'!B5)/(B8*60),0)</f>
        <v/>
      </c>
    </row>
    <row r="9">
      <c r="A9" s="4" t="inlineStr">
        <is>
          <t>Compliance</t>
        </is>
      </c>
      <c r="B9" s="13">
        <f>'Inputs &amp; Assumptions'!B6</f>
        <v/>
      </c>
      <c r="C9" s="11" t="n">
        <v>290</v>
      </c>
      <c r="D9" s="13">
        <f>IF(C9&gt;0,B9/C9,0)</f>
        <v/>
      </c>
      <c r="E9" s="11">
        <f>IF(B9&gt;0,('Inputs &amp; Assumptions'!B7/'Inputs &amp; Assumptions'!B5)/(B9*60),0)</f>
        <v/>
      </c>
    </row>
    <row r="10">
      <c r="A10" s="4" t="inlineStr">
        <is>
          <t>Data Architect</t>
        </is>
      </c>
      <c r="B10" s="13">
        <f>'Inputs &amp; Assumptions'!B6</f>
        <v/>
      </c>
      <c r="C10" s="11" t="n">
        <v>310</v>
      </c>
      <c r="D10" s="13">
        <f>IF(C10&gt;0,B10/C10,0)</f>
        <v/>
      </c>
      <c r="E10" s="11">
        <f>IF(B10&gt;0,('Inputs &amp; Assumptions'!B7/'Inputs &amp; Assumptions'!B5)/(B10*60),0)</f>
        <v/>
      </c>
    </row>
    <row r="11">
      <c r="A11" s="4" t="inlineStr">
        <is>
          <t>Researcher</t>
        </is>
      </c>
      <c r="B11" s="13">
        <f>'Inputs &amp; Assumptions'!B6</f>
        <v/>
      </c>
      <c r="C11" s="11" t="n">
        <v>330</v>
      </c>
      <c r="D11" s="13">
        <f>IF(C11&gt;0,B11/C11,0)</f>
        <v/>
      </c>
      <c r="E11" s="11">
        <f>IF(B11&gt;0,('Inputs &amp; Assumptions'!B7/'Inputs &amp; Assumptions'!B5)/(B11*60),0)</f>
        <v/>
      </c>
    </row>
    <row r="12">
      <c r="A12" s="4" t="inlineStr">
        <is>
          <t>Designer</t>
        </is>
      </c>
      <c r="B12" s="13">
        <f>'Inputs &amp; Assumptions'!B6</f>
        <v/>
      </c>
      <c r="C12" s="11" t="n">
        <v>350</v>
      </c>
      <c r="D12" s="13">
        <f>IF(C12&gt;0,B12/C12,0)</f>
        <v/>
      </c>
      <c r="E12" s="11">
        <f>IF(B12&gt;0,('Inputs &amp; Assumptions'!B7/'Inputs &amp; Assumptions'!B5)/(B12*60),0)</f>
        <v/>
      </c>
    </row>
    <row r="13">
      <c r="A13" s="4" t="inlineStr">
        <is>
          <t>Presentations</t>
        </is>
      </c>
      <c r="B13" s="13">
        <f>'Inputs &amp; Assumptions'!B6</f>
        <v/>
      </c>
      <c r="C13" s="11" t="n">
        <v>370</v>
      </c>
      <c r="D13" s="13">
        <f>IF(C13&gt;0,B13/C13,0)</f>
        <v/>
      </c>
      <c r="E13" s="11">
        <f>IF(B13&gt;0,('Inputs &amp; Assumptions'!B7/'Inputs &amp; Assumptions'!B5)/(B13*60),0)</f>
        <v/>
      </c>
    </row>
    <row r="14">
      <c r="A14" s="4" t="inlineStr">
        <is>
          <t>CX Strategist</t>
        </is>
      </c>
      <c r="B14" s="13">
        <f>'Inputs &amp; Assumptions'!B6</f>
        <v/>
      </c>
      <c r="C14" s="11" t="n">
        <v>390</v>
      </c>
      <c r="D14" s="13">
        <f>IF(C14&gt;0,B14/C14,0)</f>
        <v/>
      </c>
      <c r="E14" s="11">
        <f>IF(B14&gt;0,('Inputs &amp; Assumptions'!B7/'Inputs &amp; Assumptions'!B5)/(B14*60),0)</f>
        <v/>
      </c>
    </row>
    <row r="15">
      <c r="A15" s="4" t="inlineStr">
        <is>
          <t>Aether</t>
        </is>
      </c>
      <c r="B15" s="13">
        <f>'Inputs &amp; Assumptions'!B6</f>
        <v/>
      </c>
      <c r="C15" s="11" t="n">
        <v>410</v>
      </c>
      <c r="D15" s="13">
        <f>IF(C15&gt;0,B15/C15,0)</f>
        <v/>
      </c>
      <c r="E15" s="11">
        <f>IF(B15&gt;0,('Inputs &amp; Assumptions'!B7/'Inputs &amp; Assumptions'!B5)/(B15*60),0)</f>
        <v/>
      </c>
    </row>
    <row r="16">
      <c r="A16" s="4" t="inlineStr">
        <is>
          <t>Delegate AI</t>
        </is>
      </c>
      <c r="B16" s="13">
        <f>'Inputs &amp; Assumptions'!B6</f>
        <v/>
      </c>
      <c r="C16" s="11" t="n">
        <v>430</v>
      </c>
      <c r="D16" s="13">
        <f>IF(C16&gt;0,B16/C16,0)</f>
        <v/>
      </c>
      <c r="E16" s="11">
        <f>IF(B16&gt;0,('Inputs &amp; Assumptions'!B7/'Inputs &amp; Assumptions'!B5)/(B16*60),0)</f>
        <v/>
      </c>
    </row>
    <row r="17">
      <c r="A17" s="4" t="inlineStr">
        <is>
          <t>EQ Engine</t>
        </is>
      </c>
      <c r="B17" s="13">
        <f>'Inputs &amp; Assumptions'!B6</f>
        <v/>
      </c>
      <c r="C17" s="11" t="n">
        <v>450</v>
      </c>
      <c r="D17" s="13">
        <f>IF(C17&gt;0,B17/C17,0)</f>
        <v/>
      </c>
      <c r="E17" s="11">
        <f>IF(B17&gt;0,('Inputs &amp; Assumptions'!B7/'Inputs &amp; Assumptions'!B5)/(B17*60),0)</f>
        <v/>
      </c>
    </row>
    <row r="18">
      <c r="A18" s="4" t="inlineStr">
        <is>
          <t>GeoTalent Scout</t>
        </is>
      </c>
      <c r="B18" s="13">
        <f>'Inputs &amp; Assumptions'!B6</f>
        <v/>
      </c>
      <c r="C18" s="11" t="n">
        <v>470</v>
      </c>
      <c r="D18" s="13">
        <f>IF(C18&gt;0,B18/C18,0)</f>
        <v/>
      </c>
      <c r="E18" s="11">
        <f>IF(B18&gt;0,('Inputs &amp; Assumptions'!B7/'Inputs &amp; Assumptions'!B5)/(B18*60),0)</f>
        <v/>
      </c>
    </row>
    <row r="19">
      <c r="A19" s="4" t="inlineStr">
        <is>
          <t>News Bureau</t>
        </is>
      </c>
      <c r="B19" s="13">
        <f>'Inputs &amp; Assumptions'!B6</f>
        <v/>
      </c>
      <c r="C19" s="11" t="n">
        <v>490</v>
      </c>
      <c r="D19" s="13">
        <f>IF(C19&gt;0,B19/C19,0)</f>
        <v/>
      </c>
      <c r="E19" s="11">
        <f>IF(B19&gt;0,('Inputs &amp; Assumptions'!B7/'Inputs &amp; Assumptions'!B5)/(B19*60),0)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2026-03-11T22:39:32Z</dcterms:created>
  <dcterms:modified xmlns:dcterms="http://purl.org/dc/terms/" xmlns:xsi="http://www.w3.org/2001/XMLSchema-instance" xsi:type="dcterms:W3CDTF">2026-03-11T22:39:33Z</dcterms:modified>
</cp:coreProperties>
</file>